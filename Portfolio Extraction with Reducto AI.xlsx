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s" sheetId="1" r:id="rId1"/>
    <sheet name="Segments" sheetId="2" r:id="rId2"/>
    <sheet name="Cash Flow" sheetId="3" r:id="rId3"/>
    <sheet name="Guidance" sheetId="4" r:id="rId4"/>
    <sheet name="Notes" sheetId="5" r:id="rId5"/>
  </sheets>
  <calcPr calcId="124519" fullCalcOnLoad="1"/>
</workbook>
</file>

<file path=xl/sharedStrings.xml><?xml version="1.0" encoding="utf-8"?>
<sst xmlns="http://schemas.openxmlformats.org/spreadsheetml/2006/main" count="99" uniqueCount="94">
  <si>
    <t>Metric (in $M except per-share)</t>
  </si>
  <si>
    <t>NVDA-Q4-FY2025-Earnings-Release</t>
  </si>
  <si>
    <t>NET SALES</t>
  </si>
  <si>
    <t>Quarterly Net Sales</t>
  </si>
  <si>
    <t>Prior Year Quarter</t>
  </si>
  <si>
    <t>Quarterly YoY Growth</t>
  </si>
  <si>
    <t>Full Year Net Sales</t>
  </si>
  <si>
    <t>Prior Full Year</t>
  </si>
  <si>
    <t>Full Year YoY Growth</t>
  </si>
  <si>
    <t>OPERATING INCOME</t>
  </si>
  <si>
    <t>Quarterly Operating Income</t>
  </si>
  <si>
    <t>Quarterly Operating Margin</t>
  </si>
  <si>
    <t>Full Year Operating Income</t>
  </si>
  <si>
    <t>Full Year Operating Margin</t>
  </si>
  <si>
    <t>NET INCOME &amp; EPS</t>
  </si>
  <si>
    <t>Quarterly Net Income</t>
  </si>
  <si>
    <t>Quarterly EPS (Basic)</t>
  </si>
  <si>
    <t>Quarterly EPS (Diluted)</t>
  </si>
  <si>
    <t>Full Year Net Income</t>
  </si>
  <si>
    <t>Full Year EPS (Basic)</t>
  </si>
  <si>
    <t>Full Year EPS (Diluted)</t>
  </si>
  <si>
    <t>CASH FLOW SUMMARY</t>
  </si>
  <si>
    <t>Operating Cash Flow</t>
  </si>
  <si>
    <t>Free Cash Flow</t>
  </si>
  <si>
    <t>CapEx (PP&amp;E Purchases)</t>
  </si>
  <si>
    <t>NVDA-Q4-FY2025-Earnings-Release Segments</t>
  </si>
  <si>
    <t>Segment</t>
  </si>
  <si>
    <t>Net Sales ($M)</t>
  </si>
  <si>
    <t>Prior Year ($M)</t>
  </si>
  <si>
    <t>YoY Growth</t>
  </si>
  <si>
    <t>Op Income ($M)</t>
  </si>
  <si>
    <t>Op Margin</t>
  </si>
  <si>
    <t>Revenue Mix</t>
  </si>
  <si>
    <t>Data Center</t>
  </si>
  <si>
    <t>Gaming</t>
  </si>
  <si>
    <t>Professional Visualization</t>
  </si>
  <si>
    <t>Automotive</t>
  </si>
  <si>
    <t>Metric ($M)</t>
  </si>
  <si>
    <t>CAPITAL EXPENDITURES</t>
  </si>
  <si>
    <t>Purchases of PP&amp;E</t>
  </si>
  <si>
    <t>Finance Lease Additions</t>
  </si>
  <si>
    <t>Proceeds from Asset Sales</t>
  </si>
  <si>
    <t>DEBT SERVICE</t>
  </si>
  <si>
    <t>Long-Term Debt Repayments</t>
  </si>
  <si>
    <t>Short-Term Debt Repayments</t>
  </si>
  <si>
    <t>LEASE OBLIGATIONS</t>
  </si>
  <si>
    <t>Finance Lease Repayments</t>
  </si>
  <si>
    <t>Operating Lease Payments</t>
  </si>
  <si>
    <t>LIQUIDITY</t>
  </si>
  <si>
    <t>Cash &amp; Equivalents</t>
  </si>
  <si>
    <t>Current Marketable Securities</t>
  </si>
  <si>
    <t>Non-Current Marketable Securities</t>
  </si>
  <si>
    <t>Total Debt</t>
  </si>
  <si>
    <t>Operating CF</t>
  </si>
  <si>
    <t>CapEx</t>
  </si>
  <si>
    <t>Free CF</t>
  </si>
  <si>
    <t>Metric</t>
  </si>
  <si>
    <t>FORWARD GUIDANCE</t>
  </si>
  <si>
    <t>Guidance Period</t>
  </si>
  <si>
    <t>Q1 FY2026</t>
  </si>
  <si>
    <t>Revenue Low ($M)</t>
  </si>
  <si>
    <t>Revenue High ($M)</t>
  </si>
  <si>
    <t>Revenue Growth Low</t>
  </si>
  <si>
    <t>Revenue Growth High</t>
  </si>
  <si>
    <t>Operating Income Low ($M)</t>
  </si>
  <si>
    <t>Operating Income High ($M)</t>
  </si>
  <si>
    <t>FX IMPACT</t>
  </si>
  <si>
    <t>FX Impact ($M)</t>
  </si>
  <si>
    <t>FX Impact (bps)</t>
  </si>
  <si>
    <t>STOCK-BASED COMPENSATION ($M)</t>
  </si>
  <si>
    <t>Quarterly SBC</t>
  </si>
  <si>
    <t>Prior Year Quarter SBC</t>
  </si>
  <si>
    <t>Full Year SBC</t>
  </si>
  <si>
    <t>Prior Full Year SBC</t>
  </si>
  <si>
    <t>OPERATIONAL KPIs</t>
  </si>
  <si>
    <t>NVDA-Q4-FY2025-Earnings-Release KPIs</t>
  </si>
  <si>
    <t>Current Value</t>
  </si>
  <si>
    <t>YoY Change</t>
  </si>
  <si>
    <t>Data Center Full-year revenue</t>
  </si>
  <si>
    <t>$115.2 billion</t>
  </si>
  <si>
    <t>142%</t>
  </si>
  <si>
    <t>Gaming Full-year revenue</t>
  </si>
  <si>
    <t>$11.4 billion</t>
  </si>
  <si>
    <t>9%</t>
  </si>
  <si>
    <t>Professional Visualization Full-year revenue</t>
  </si>
  <si>
    <t>$1.9 billion</t>
  </si>
  <si>
    <t>21%</t>
  </si>
  <si>
    <t>Automotive Full-year revenue</t>
  </si>
  <si>
    <t>$1.7 billion</t>
  </si>
  <si>
    <t>55%</t>
  </si>
  <si>
    <t>ASSUMPTIONS &amp; ADJUSTMENTS</t>
  </si>
  <si>
    <t>All monetary values in $M unless noted</t>
  </si>
  <si>
    <t>Free cash flow = Operating Cash Flow - CapEx (computed) when not directly reported</t>
  </si>
  <si>
    <t>Growth percentages calculated: (current - prior) / prior * 100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</si>
</sst>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%"/>
    <numFmt numFmtId="166" formatCode="$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7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0" borderId="1" xfId="0" applyFont="1" applyBorder="1" applyAlignment="1">
      <alignment horizontal="left" indent="1"/>
    </xf>
    <xf numFmtId="164" fontId="3" fillId="0" borderId="1" xfId="0" applyNumberFormat="1" applyFont="1" applyBorder="1" applyAlignment="1">
      <alignment horizontal="right"/>
    </xf>
    <xf numFmtId="0" fontId="3" fillId="4" borderId="1" xfId="0" applyFont="1" applyFill="1" applyBorder="1" applyAlignment="1">
      <alignment horizontal="left" indent="1"/>
    </xf>
    <xf numFmtId="164" fontId="3" fillId="4" borderId="1" xfId="0" applyNumberFormat="1" applyFont="1" applyFill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6" fontId="3" fillId="4" borderId="1" xfId="0" applyNumberFormat="1" applyFont="1" applyFill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Quarterly Net Sales ($M)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NVDA-Q4-FY2025-Earnings-Release</c:v>
          </c:tx>
          <c:spPr>
            <a:solidFill>
              <a:srgbClr val="FF9900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Financials!$A$4:$A$5</c:f>
              <c:strCache>
                <c:ptCount val="2"/>
                <c:pt idx="0">
                  <c:v>Quarterly Net Sales</c:v>
                </c:pt>
                <c:pt idx="1">
                  <c:v>Prior Year Quarter</c:v>
                </c:pt>
              </c:strCache>
            </c:strRef>
          </c:cat>
          <c:val>
            <c:numRef>
              <c:f>Financials!$B$4:$B$5</c:f>
              <c:numCache>
                <c:formatCode>General</c:formatCode>
                <c:ptCount val="2"/>
                <c:pt idx="0">
                  <c:v>39331</c:v>
                </c:pt>
                <c:pt idx="1">
                  <c:v>22103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Quarterly Operating Margin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NVDA-Q4-FY2025-Earnings-Release</c:v>
          </c:tx>
          <c:spPr>
            <a:solidFill>
              <a:srgbClr val="FF9900"/>
            </a:solidFill>
          </c:spPr>
          <c:dLbls>
            <c:numFmt formatCode="0.0%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Financials!$A$13</c:f>
              <c:strCache>
                <c:ptCount val="1"/>
                <c:pt idx="0">
                  <c:v>Quarterly Operating Margin</c:v>
                </c:pt>
              </c:strCache>
            </c:strRef>
          </c:cat>
          <c:val>
            <c:numRef>
              <c:f>Financials!$B$13</c:f>
              <c:numCache>
                <c:formatCode>General</c:formatCode>
                <c:ptCount val="1"/>
                <c:pt idx="0">
                  <c:v>0.6111296464646465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0%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NVDA-Q4-FY2025-Earnings-Release Revenue Mix ($M)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NVDA-Q4-FY2025-Earnings-Release Revenue Mix</c:v>
          </c:tx>
          <c:dLbls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CatName val="1"/>
            <c:showPercent val="1"/>
            <c:separator>
</c:separator>
          </c:dLbls>
          <c:cat>
            <c:strRef>
              <c:f>Segments!$A$3:$A$6</c:f>
              <c:strCache>
                <c:ptCount val="4"/>
                <c:pt idx="0">
                  <c:v>Data Center</c:v>
                </c:pt>
                <c:pt idx="1">
                  <c:v>Gaming</c:v>
                </c:pt>
                <c:pt idx="2">
                  <c:v>Professional Visualization</c:v>
                </c:pt>
                <c:pt idx="3">
                  <c:v>Automotive</c:v>
                </c:pt>
              </c:strCache>
            </c:strRef>
          </c:cat>
          <c:val>
            <c:numRef>
              <c:f>Segments!$B$3:$B$6</c:f>
              <c:numCache>
                <c:formatCode>General</c:formatCode>
                <c:ptCount val="4"/>
                <c:pt idx="0">
                  <c:v>35600</c:v>
                </c:pt>
                <c:pt idx="1">
                  <c:v>2500</c:v>
                </c:pt>
                <c:pt idx="2">
                  <c:v>511</c:v>
                </c:pt>
                <c:pt idx="3">
                  <c:v>570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NVDA-Q4-FY2025-Earnings-Release Segment Op Margin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Operating Margin</c:v>
          </c:tx>
          <c:spPr>
            <a:solidFill>
              <a:srgbClr val="FF9900"/>
            </a:solidFill>
          </c:spPr>
          <c:dLbls>
            <c:numFmt formatCode="0.0%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Segments!$A$3:$A$6</c:f>
              <c:strCache>
                <c:ptCount val="4"/>
                <c:pt idx="0">
                  <c:v>Data Center</c:v>
                </c:pt>
                <c:pt idx="1">
                  <c:v>Gaming</c:v>
                </c:pt>
                <c:pt idx="2">
                  <c:v>Professional Visualization</c:v>
                </c:pt>
                <c:pt idx="3">
                  <c:v>Automotive</c:v>
                </c:pt>
              </c:strCache>
            </c:strRef>
          </c:cat>
          <c:val>
            <c:numRef>
              <c:f>Segments!$F$3:$F$6</c:f>
              <c:numCache>
                <c:formatCode>General</c:formatCode>
                <c:ptCount val="4"/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0%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Operating CF vs CapEx vs Free CF ($M)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Operating CF</c:v>
          </c:tx>
          <c:spPr>
            <a:solidFill>
              <a:srgbClr val="2196F3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'Cash Flow'!$A$24</c:f>
              <c:strCache>
                <c:ptCount val="1"/>
                <c:pt idx="0">
                  <c:v>NVDA-Q4-FY2025-Earnings-Release</c:v>
                </c:pt>
              </c:strCache>
            </c:strRef>
          </c:cat>
          <c:val>
            <c:numRef>
              <c:f>'Cash Flow'!$B$24</c:f>
              <c:numCache>
                <c:formatCode>General</c:formatCode>
                <c:ptCount val="1"/>
                <c:pt idx="0">
                  <c:v>16628</c:v>
                </c:pt>
              </c:numCache>
            </c:numRef>
          </c:val>
        </c:ser>
        <c:ser>
          <c:idx val="1"/>
          <c:order val="1"/>
          <c:tx>
            <c:v>CapEx</c:v>
          </c:tx>
          <c:spPr>
            <a:solidFill>
              <a:srgbClr val="F44336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'Cash Flow'!$A$24</c:f>
              <c:strCache>
                <c:ptCount val="1"/>
                <c:pt idx="0">
                  <c:v>NVDA-Q4-FY2025-Earnings-Release</c:v>
                </c:pt>
              </c:strCache>
            </c:strRef>
          </c:cat>
          <c:val>
            <c:numRef>
              <c:f>'Cash Flow'!$C$24</c:f>
              <c:numCache>
                <c:formatCode>General</c:formatCode>
                <c:ptCount val="1"/>
                <c:pt idx="0">
                  <c:v>1077</c:v>
                </c:pt>
              </c:numCache>
            </c:numRef>
          </c:val>
        </c:ser>
        <c:ser>
          <c:idx val="2"/>
          <c:order val="2"/>
          <c:tx>
            <c:v>Free CF</c:v>
          </c:tx>
          <c:spPr>
            <a:solidFill>
              <a:srgbClr val="4CAF50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'Cash Flow'!$A$24</c:f>
              <c:strCache>
                <c:ptCount val="1"/>
                <c:pt idx="0">
                  <c:v>NVDA-Q4-FY2025-Earnings-Release</c:v>
                </c:pt>
              </c:strCache>
            </c:strRef>
          </c:cat>
          <c:val>
            <c:numRef>
              <c:f>'Cash Flow'!$D$24</c:f>
              <c:numCache>
                <c:formatCode>General</c:formatCode>
                <c:ptCount val="1"/>
                <c:pt idx="0">
                  <c:v>15519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#,##0" sourceLinked="0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76200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12</xdr:col>
      <xdr:colOff>76200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15</xdr:col>
      <xdr:colOff>495300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15</xdr:col>
      <xdr:colOff>19050</xdr:colOff>
      <xdr:row>39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cols>
    <col min="1" max="1" width="32.7109375" customWidth="1"/>
    <col min="2" max="2" width="30.7109375" customWidth="1"/>
  </cols>
  <sheetData>
    <row r="1" spans="1:2">
      <c r="A1" s="1" t="s">
        <v>0</v>
      </c>
      <c r="B1" s="1" t="s">
        <v>1</v>
      </c>
    </row>
    <row r="3" spans="1:2">
      <c r="A3" s="2" t="s">
        <v>2</v>
      </c>
      <c r="B3" s="2"/>
    </row>
    <row r="4" spans="1:2">
      <c r="A4" s="3" t="s">
        <v>3</v>
      </c>
      <c r="B4" s="4">
        <v>39331</v>
      </c>
    </row>
    <row r="5" spans="1:2">
      <c r="A5" s="5" t="s">
        <v>4</v>
      </c>
      <c r="B5" s="6">
        <v>22103</v>
      </c>
    </row>
    <row r="6" spans="1:2">
      <c r="A6" s="3" t="s">
        <v>5</v>
      </c>
      <c r="B6" s="7">
        <v>0.780004520026243</v>
      </c>
    </row>
    <row r="7" spans="1:2">
      <c r="A7" s="5" t="s">
        <v>6</v>
      </c>
      <c r="B7" s="6">
        <v>130497</v>
      </c>
    </row>
    <row r="8" spans="1:2">
      <c r="A8" s="3" t="s">
        <v>7</v>
      </c>
      <c r="B8" s="4">
        <v>60922</v>
      </c>
    </row>
    <row r="9" spans="1:2">
      <c r="A9" s="5" t="s">
        <v>8</v>
      </c>
      <c r="B9" s="8">
        <v>1.14202664215964</v>
      </c>
    </row>
    <row r="11" spans="1:2">
      <c r="A11" s="2" t="s">
        <v>9</v>
      </c>
      <c r="B11" s="2"/>
    </row>
    <row r="12" spans="1:2">
      <c r="A12" s="3" t="s">
        <v>10</v>
      </c>
      <c r="B12" s="4">
        <v>24034</v>
      </c>
    </row>
    <row r="13" spans="1:2">
      <c r="A13" s="5" t="s">
        <v>11</v>
      </c>
      <c r="B13" s="8">
        <v>0.6111296464646465</v>
      </c>
    </row>
    <row r="14" spans="1:2">
      <c r="A14" s="3" t="s">
        <v>12</v>
      </c>
      <c r="B14" s="4">
        <v>81453</v>
      </c>
    </row>
    <row r="15" spans="1:2">
      <c r="A15" s="5" t="s">
        <v>13</v>
      </c>
      <c r="B15" s="8">
        <v>0.6241867967967968</v>
      </c>
    </row>
    <row r="17" spans="1:2">
      <c r="A17" s="2" t="s">
        <v>14</v>
      </c>
      <c r="B17" s="2"/>
    </row>
    <row r="18" spans="1:2">
      <c r="A18" s="3" t="s">
        <v>15</v>
      </c>
      <c r="B18" s="4">
        <v>22091</v>
      </c>
    </row>
    <row r="19" spans="1:2">
      <c r="A19" s="5" t="s">
        <v>16</v>
      </c>
      <c r="B19" s="9">
        <v>0.9</v>
      </c>
    </row>
    <row r="20" spans="1:2">
      <c r="A20" s="3" t="s">
        <v>17</v>
      </c>
      <c r="B20" s="10">
        <v>0.89</v>
      </c>
    </row>
    <row r="21" spans="1:2">
      <c r="A21" s="5" t="s">
        <v>18</v>
      </c>
      <c r="B21" s="6">
        <v>72880</v>
      </c>
    </row>
    <row r="22" spans="1:2">
      <c r="A22" s="3" t="s">
        <v>19</v>
      </c>
      <c r="B22" s="10">
        <v>2.97</v>
      </c>
    </row>
    <row r="23" spans="1:2">
      <c r="A23" s="5" t="s">
        <v>20</v>
      </c>
      <c r="B23" s="9">
        <v>2.94</v>
      </c>
    </row>
    <row r="25" spans="1:2">
      <c r="A25" s="2" t="s">
        <v>21</v>
      </c>
      <c r="B25" s="2"/>
    </row>
    <row r="26" spans="1:2">
      <c r="A26" s="3" t="s">
        <v>22</v>
      </c>
      <c r="B26" s="4">
        <v>16628</v>
      </c>
    </row>
    <row r="27" spans="1:2">
      <c r="A27" s="5" t="s">
        <v>23</v>
      </c>
      <c r="B27" s="6">
        <v>15519</v>
      </c>
    </row>
    <row r="28" spans="1:2">
      <c r="A28" s="3" t="s">
        <v>24</v>
      </c>
      <c r="B28" s="4">
        <v>1077</v>
      </c>
    </row>
  </sheetData>
  <mergeCells count="4">
    <mergeCell ref="A3:B3"/>
    <mergeCell ref="A11:B11"/>
    <mergeCell ref="A17:B17"/>
    <mergeCell ref="A25:B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24.7109375" customWidth="1"/>
    <col min="2" max="7" width="20.7109375" customWidth="1"/>
  </cols>
  <sheetData>
    <row r="1" spans="1:7">
      <c r="A1" s="2" t="s">
        <v>25</v>
      </c>
      <c r="B1" s="2"/>
      <c r="C1" s="2"/>
      <c r="D1" s="2"/>
      <c r="E1" s="2"/>
      <c r="F1" s="2"/>
      <c r="G1" s="2"/>
    </row>
    <row r="2" spans="1:7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</row>
    <row r="3" spans="1:7">
      <c r="A3" s="3" t="s">
        <v>33</v>
      </c>
      <c r="B3" s="4">
        <v>35600</v>
      </c>
      <c r="C3" s="4">
        <v>18450</v>
      </c>
      <c r="D3" s="7">
        <v>0.929059632917602</v>
      </c>
      <c r="E3" s="4"/>
      <c r="G3" s="7">
        <v>0.905239820867603</v>
      </c>
    </row>
    <row r="4" spans="1:7">
      <c r="A4" s="5" t="s">
        <v>34</v>
      </c>
      <c r="B4" s="6">
        <v>2500</v>
      </c>
      <c r="C4" s="6">
        <v>2809</v>
      </c>
      <c r="D4" s="8">
        <v>-0.11000355992876</v>
      </c>
      <c r="E4" s="6"/>
      <c r="G4" s="8">
        <v>0.06357964964964964</v>
      </c>
    </row>
    <row r="5" spans="1:7">
      <c r="A5" s="3" t="s">
        <v>35</v>
      </c>
      <c r="B5" s="4">
        <v>511</v>
      </c>
      <c r="C5" s="4">
        <v>464.5454545454546</v>
      </c>
      <c r="D5" s="7">
        <v>0.1</v>
      </c>
      <c r="E5" s="4"/>
      <c r="G5" s="7">
        <v>0.01299964964964965</v>
      </c>
    </row>
    <row r="6" spans="1:7">
      <c r="A6" s="5" t="s">
        <v>36</v>
      </c>
      <c r="B6" s="6">
        <v>570</v>
      </c>
      <c r="C6" s="6">
        <v>280.6930693069307</v>
      </c>
      <c r="D6" s="8">
        <v>1.03</v>
      </c>
      <c r="E6" s="6"/>
      <c r="G6" s="8">
        <v>0.01451964964964965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cols>
    <col min="1" max="1" width="36.7109375" customWidth="1"/>
    <col min="2" max="2" width="30.7109375" customWidth="1"/>
  </cols>
  <sheetData>
    <row r="1" spans="1:2">
      <c r="A1" s="1" t="s">
        <v>37</v>
      </c>
      <c r="B1" s="1" t="s">
        <v>1</v>
      </c>
    </row>
    <row r="3" spans="1:2">
      <c r="A3" s="2" t="s">
        <v>38</v>
      </c>
      <c r="B3" s="2"/>
    </row>
    <row r="4" spans="1:2">
      <c r="A4" s="3" t="s">
        <v>39</v>
      </c>
      <c r="B4" s="4">
        <v>1077</v>
      </c>
    </row>
    <row r="5" spans="1:2">
      <c r="A5" s="5" t="s">
        <v>40</v>
      </c>
    </row>
    <row r="6" spans="1:2">
      <c r="A6" s="3" t="s">
        <v>41</v>
      </c>
    </row>
    <row r="8" spans="1:2">
      <c r="A8" s="2" t="s">
        <v>42</v>
      </c>
      <c r="B8" s="2"/>
    </row>
    <row r="9" spans="1:2">
      <c r="A9" s="5" t="s">
        <v>43</v>
      </c>
    </row>
    <row r="10" spans="1:2">
      <c r="A10" s="3" t="s">
        <v>44</v>
      </c>
      <c r="B10" s="4">
        <v>1250</v>
      </c>
    </row>
    <row r="12" spans="1:2">
      <c r="A12" s="2" t="s">
        <v>45</v>
      </c>
      <c r="B12" s="2"/>
    </row>
    <row r="13" spans="1:2">
      <c r="A13" s="5" t="s">
        <v>46</v>
      </c>
    </row>
    <row r="14" spans="1:2">
      <c r="A14" s="3" t="s">
        <v>47</v>
      </c>
    </row>
    <row r="16" spans="1:2">
      <c r="A16" s="2" t="s">
        <v>48</v>
      </c>
      <c r="B16" s="2"/>
    </row>
    <row r="17" spans="1:4">
      <c r="A17" s="5" t="s">
        <v>49</v>
      </c>
      <c r="B17" s="6">
        <v>43210</v>
      </c>
    </row>
    <row r="18" spans="1:4">
      <c r="A18" s="3" t="s">
        <v>50</v>
      </c>
    </row>
    <row r="19" spans="1:4">
      <c r="A19" s="5" t="s">
        <v>51</v>
      </c>
    </row>
    <row r="20" spans="1:4">
      <c r="A20" s="3" t="s">
        <v>52</v>
      </c>
      <c r="B20" s="4">
        <v>8463</v>
      </c>
    </row>
    <row r="23" spans="1:4">
      <c r="A23" s="3"/>
      <c r="B23" s="1" t="s">
        <v>53</v>
      </c>
      <c r="C23" s="1" t="s">
        <v>54</v>
      </c>
      <c r="D23" s="1" t="s">
        <v>55</v>
      </c>
    </row>
    <row r="24" spans="1:4">
      <c r="A24" s="3" t="s">
        <v>1</v>
      </c>
      <c r="B24" s="4">
        <v>16628</v>
      </c>
      <c r="C24" s="4">
        <v>1077</v>
      </c>
      <c r="D24" s="4">
        <v>15519</v>
      </c>
    </row>
  </sheetData>
  <mergeCells count="4">
    <mergeCell ref="A3:B3"/>
    <mergeCell ref="A8:B8"/>
    <mergeCell ref="A12:B12"/>
    <mergeCell ref="A16:B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8.7109375" customWidth="1"/>
    <col min="2" max="2" width="30.7109375" customWidth="1"/>
  </cols>
  <sheetData>
    <row r="1" spans="1:2">
      <c r="A1" s="1" t="s">
        <v>56</v>
      </c>
      <c r="B1" s="1" t="s">
        <v>1</v>
      </c>
    </row>
    <row r="3" spans="1:2">
      <c r="A3" s="2" t="s">
        <v>57</v>
      </c>
      <c r="B3" s="2"/>
    </row>
    <row r="4" spans="1:2">
      <c r="A4" s="3" t="s">
        <v>58</v>
      </c>
      <c r="B4" s="11" t="s">
        <v>59</v>
      </c>
    </row>
    <row r="5" spans="1:2">
      <c r="A5" s="5" t="s">
        <v>60</v>
      </c>
      <c r="B5" s="6">
        <v>42140</v>
      </c>
    </row>
    <row r="6" spans="1:2">
      <c r="A6" s="3" t="s">
        <v>61</v>
      </c>
      <c r="B6" s="4">
        <v>43860</v>
      </c>
    </row>
    <row r="7" spans="1:2">
      <c r="A7" s="5" t="s">
        <v>62</v>
      </c>
      <c r="B7" s="8">
        <v>0</v>
      </c>
    </row>
    <row r="8" spans="1:2">
      <c r="A8" s="3" t="s">
        <v>63</v>
      </c>
      <c r="B8" s="7">
        <v>0</v>
      </c>
    </row>
    <row r="9" spans="1:2">
      <c r="A9" s="5" t="s">
        <v>64</v>
      </c>
      <c r="B9" s="6">
        <v>0</v>
      </c>
    </row>
    <row r="10" spans="1:2">
      <c r="A10" s="3" t="s">
        <v>65</v>
      </c>
      <c r="B10" s="4">
        <v>0</v>
      </c>
    </row>
    <row r="12" spans="1:2">
      <c r="A12" s="2" t="s">
        <v>66</v>
      </c>
      <c r="B12" s="2"/>
    </row>
    <row r="13" spans="1:2">
      <c r="A13" s="5" t="s">
        <v>67</v>
      </c>
      <c r="B13" s="6">
        <v>0</v>
      </c>
    </row>
    <row r="14" spans="1:2">
      <c r="A14" s="3" t="s">
        <v>68</v>
      </c>
      <c r="B14" s="4">
        <v>0</v>
      </c>
    </row>
  </sheetData>
  <mergeCells count="2">
    <mergeCell ref="A3:B3"/>
    <mergeCell ref="A12:B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cols>
    <col min="1" max="1" width="32.7109375" customWidth="1"/>
    <col min="2" max="2" width="30.7109375" customWidth="1"/>
  </cols>
  <sheetData>
    <row r="1" spans="1:3">
      <c r="A1" s="1" t="s">
        <v>56</v>
      </c>
      <c r="B1" s="1" t="s">
        <v>1</v>
      </c>
    </row>
    <row r="3" spans="1:3">
      <c r="A3" s="2" t="s">
        <v>69</v>
      </c>
      <c r="B3" s="2"/>
    </row>
    <row r="4" spans="1:3">
      <c r="A4" s="3" t="s">
        <v>70</v>
      </c>
      <c r="B4" s="4">
        <v>1321</v>
      </c>
    </row>
    <row r="5" spans="1:3">
      <c r="A5" s="5" t="s">
        <v>71</v>
      </c>
      <c r="B5" s="6">
        <v>993</v>
      </c>
    </row>
    <row r="6" spans="1:3">
      <c r="A6" s="3" t="s">
        <v>72</v>
      </c>
      <c r="B6" s="4">
        <v>4737</v>
      </c>
    </row>
    <row r="7" spans="1:3">
      <c r="A7" s="5" t="s">
        <v>73</v>
      </c>
      <c r="B7" s="6">
        <v>3549</v>
      </c>
    </row>
    <row r="9" spans="1:3">
      <c r="A9" s="2" t="s">
        <v>74</v>
      </c>
      <c r="B9" s="2"/>
      <c r="C9" s="2"/>
    </row>
    <row r="10" spans="1:3">
      <c r="A10" s="2" t="s">
        <v>75</v>
      </c>
      <c r="B10" s="1" t="s">
        <v>76</v>
      </c>
      <c r="C10" s="1" t="s">
        <v>77</v>
      </c>
    </row>
    <row r="11" spans="1:3">
      <c r="A11" s="3" t="s">
        <v>78</v>
      </c>
      <c r="B11" s="12" t="s">
        <v>79</v>
      </c>
      <c r="C11" s="12" t="s">
        <v>80</v>
      </c>
    </row>
    <row r="12" spans="1:3">
      <c r="A12" s="3" t="s">
        <v>81</v>
      </c>
      <c r="B12" s="12" t="s">
        <v>82</v>
      </c>
      <c r="C12" s="12" t="s">
        <v>83</v>
      </c>
    </row>
    <row r="13" spans="1:3">
      <c r="A13" s="3" t="s">
        <v>84</v>
      </c>
      <c r="B13" s="12" t="s">
        <v>85</v>
      </c>
      <c r="C13" s="12" t="s">
        <v>86</v>
      </c>
    </row>
    <row r="14" spans="1:3">
      <c r="A14" s="3" t="s">
        <v>87</v>
      </c>
      <c r="B14" s="12" t="s">
        <v>88</v>
      </c>
      <c r="C14" s="12" t="s">
        <v>89</v>
      </c>
    </row>
    <row r="17" spans="1:2">
      <c r="A17" s="2" t="s">
        <v>90</v>
      </c>
      <c r="B17" s="2"/>
    </row>
    <row r="18" spans="1:2">
      <c r="A18" s="11" t="s">
        <v>91</v>
      </c>
    </row>
    <row r="19" spans="1:2">
      <c r="A19" s="11" t="s">
        <v>92</v>
      </c>
    </row>
    <row r="20" spans="1:2">
      <c r="A20" s="11" t="s">
        <v>93</v>
      </c>
    </row>
  </sheetData>
  <mergeCells count="3">
    <mergeCell ref="A3:B3"/>
    <mergeCell ref="A9:C9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Financials</vt:lpstr>
      <vt:lpstr>Segments</vt:lpstr>
      <vt:lpstr>Cash Flow</vt:lpstr>
      <vt:lpstr>Guidance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2026-04-16T05:01:07Z</dcterms:created>
  <dcterms:modified xsi:type="dcterms:W3CDTF">2026-04-16T05:01:07Z</dcterms:modified>
</cp:coreProperties>
</file>