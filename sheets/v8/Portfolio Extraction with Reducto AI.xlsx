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  <sheet name="Segments" sheetId="2" r:id="rId2"/>
    <sheet name="Cash Flow" sheetId="3" r:id="rId3"/>
    <sheet name="Guidance" sheetId="4" r:id="rId4"/>
    <sheet name="Notes" sheetId="5" r:id="rId5"/>
  </sheets>
  <calcPr calcId="124519" fullCalcOnLoad="1"/>
</workbook>
</file>

<file path=xl/sharedStrings.xml><?xml version="1.0" encoding="utf-8"?>
<sst xmlns="http://schemas.openxmlformats.org/spreadsheetml/2006/main" count="128" uniqueCount="103">
  <si>
    <t>Metric (in $M except per-share)</t>
  </si>
  <si>
    <t>Amazon (Q4 2024 / FY 2024)</t>
  </si>
  <si>
    <t>Apple (Q3 2024 / 9M 2024)</t>
  </si>
  <si>
    <t>NET SALES</t>
  </si>
  <si>
    <t>Quarterly Net Sales</t>
  </si>
  <si>
    <t>Prior Year Quarter</t>
  </si>
  <si>
    <t>Quarterly YoY Growth</t>
  </si>
  <si>
    <t>Full Year Net Sales</t>
  </si>
  <si>
    <t>Prior Full Year</t>
  </si>
  <si>
    <t>Full Year YoY Growth</t>
  </si>
  <si>
    <t>OPERATING INCOME</t>
  </si>
  <si>
    <t>Quarterly Operating Income</t>
  </si>
  <si>
    <t>Quarterly Operating Margin</t>
  </si>
  <si>
    <t>Full Year Operating Income</t>
  </si>
  <si>
    <t>Full Year Operating Margin</t>
  </si>
  <si>
    <t>NET INCOME &amp; EPS</t>
  </si>
  <si>
    <t>Quarterly Net Income</t>
  </si>
  <si>
    <t>Quarterly EPS (Basic)</t>
  </si>
  <si>
    <t>Quarterly EPS (Diluted)</t>
  </si>
  <si>
    <t>Full Year Net Income</t>
  </si>
  <si>
    <t>Full Year EPS (Basic)</t>
  </si>
  <si>
    <t>Full Year EPS (Diluted)</t>
  </si>
  <si>
    <t>CASH FLOW SUMMARY</t>
  </si>
  <si>
    <t>Operating Cash Flow</t>
  </si>
  <si>
    <t>Free Cash Flow</t>
  </si>
  <si>
    <t>CapEx (PP&amp;E Purchases)</t>
  </si>
  <si>
    <t>Amazon Segments (Q4 2024 / FY 2024)</t>
  </si>
  <si>
    <t>Segment</t>
  </si>
  <si>
    <t>Net Sales ($M)</t>
  </si>
  <si>
    <t>Prior Year ($M)</t>
  </si>
  <si>
    <t>YoY Growth</t>
  </si>
  <si>
    <t>Op Income ($M)</t>
  </si>
  <si>
    <t>Op Margin</t>
  </si>
  <si>
    <t>Revenue Mix</t>
  </si>
  <si>
    <t>North America</t>
  </si>
  <si>
    <t>International</t>
  </si>
  <si>
    <t>AWS</t>
  </si>
  <si>
    <t>Apple Segments (Q3 2024 / 9M 2024)</t>
  </si>
  <si>
    <t>Americas</t>
  </si>
  <si>
    <t>Europe</t>
  </si>
  <si>
    <t>Greater China</t>
  </si>
  <si>
    <t>Japan</t>
  </si>
  <si>
    <t>Rest of Asia Pacific</t>
  </si>
  <si>
    <t>Metric ($M)</t>
  </si>
  <si>
    <t>CAPITAL EXPENDITURES</t>
  </si>
  <si>
    <t>Purchases of PP&amp;E</t>
  </si>
  <si>
    <t>Finance Lease Additions</t>
  </si>
  <si>
    <t>Proceeds from Asset Sales</t>
  </si>
  <si>
    <t>DEBT SERVICE</t>
  </si>
  <si>
    <t>Long-Term Debt Repayments</t>
  </si>
  <si>
    <t>Short-Term Debt Repayments</t>
  </si>
  <si>
    <t>LEASE OBLIGATIONS</t>
  </si>
  <si>
    <t>Finance Lease Repayments</t>
  </si>
  <si>
    <t>Operating Lease Payments</t>
  </si>
  <si>
    <t>LIQUIDITY</t>
  </si>
  <si>
    <t>Cash &amp; Equivalents</t>
  </si>
  <si>
    <t>Current Marketable Securities</t>
  </si>
  <si>
    <t>Non-Current Marketable Securities</t>
  </si>
  <si>
    <t>Total Debt</t>
  </si>
  <si>
    <t>Operating CF</t>
  </si>
  <si>
    <t>CapEx</t>
  </si>
  <si>
    <t>Free CF</t>
  </si>
  <si>
    <t>Amazon</t>
  </si>
  <si>
    <t>Apple</t>
  </si>
  <si>
    <t>Cash &amp; Securities</t>
  </si>
  <si>
    <t>Metric</t>
  </si>
  <si>
    <t>FORWARD GUIDANCE</t>
  </si>
  <si>
    <t>Guidance Period</t>
  </si>
  <si>
    <t>Q1 2025</t>
  </si>
  <si>
    <t>Not provided</t>
  </si>
  <si>
    <t>Revenue Low ($M)</t>
  </si>
  <si>
    <t>Revenue High ($M)</t>
  </si>
  <si>
    <t>Revenue Growth Low</t>
  </si>
  <si>
    <t>Revenue Growth High</t>
  </si>
  <si>
    <t>Operating Income Low ($M)</t>
  </si>
  <si>
    <t>Operating Income High ($M)</t>
  </si>
  <si>
    <t>FX IMPACT</t>
  </si>
  <si>
    <t>FX Impact ($M)</t>
  </si>
  <si>
    <t>FX Impact (bps)</t>
  </si>
  <si>
    <t>Low</t>
  </si>
  <si>
    <t>Range</t>
  </si>
  <si>
    <t>Revenue</t>
  </si>
  <si>
    <t>Operating Income</t>
  </si>
  <si>
    <t>STOCK-BASED COMPENSATION ($M)</t>
  </si>
  <si>
    <t>Quarterly SBC</t>
  </si>
  <si>
    <t>Prior Year Quarter SBC</t>
  </si>
  <si>
    <t>Full Year SBC</t>
  </si>
  <si>
    <t>Prior Full Year SBC</t>
  </si>
  <si>
    <t>OPERATIONAL KPIs</t>
  </si>
  <si>
    <t>Amazon KPIs</t>
  </si>
  <si>
    <t>Current Value</t>
  </si>
  <si>
    <t>YoY Change</t>
  </si>
  <si>
    <t>WW shipping costs</t>
  </si>
  <si>
    <t>$28,549M</t>
  </si>
  <si>
    <t>4%</t>
  </si>
  <si>
    <t>Employees (full-time and part-time; excludes contractors &amp; temporary personnel)</t>
  </si>
  <si>
    <t>1,556,000</t>
  </si>
  <si>
    <t>2%</t>
  </si>
  <si>
    <t>ASSUMPTIONS &amp; ADJUSTMENTS</t>
  </si>
  <si>
    <t>All monetary values in $M unless noted</t>
  </si>
  <si>
    <t>Free cash flow = Operating Cash Flow - CapEx (computed) for companies that do not report it directly</t>
  </si>
  <si>
    <t>Growth percentages calculated: (current - prior) / prior * 100</t>
  </si>
  <si>
    <t>Apple does not provide forward guidance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</si>
</sst>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$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 applyAlignment="1">
      <alignment horizontal="left" indent="1"/>
    </xf>
    <xf numFmtId="164" fontId="3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left" indent="1"/>
    </xf>
    <xf numFmtId="164" fontId="3" fillId="4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6" fontId="3" fillId="4" borderId="1" xfId="0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Net Sales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Amazon</c:v>
          </c:tx>
          <c:spPr>
            <a:solidFill>
              <a:srgbClr val="FF990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Financials!$A$4:$A$5</c:f>
              <c:strCache>
                <c:ptCount val="2"/>
                <c:pt idx="0">
                  <c:v>Quarterly Net Sales</c:v>
                </c:pt>
                <c:pt idx="1">
                  <c:v>Prior Year Quarter</c:v>
                </c:pt>
              </c:strCache>
            </c:strRef>
          </c:cat>
          <c:val>
            <c:numRef>
              <c:f>Financials!$B$4:$B$5</c:f>
              <c:numCache>
                <c:formatCode>General</c:formatCode>
                <c:ptCount val="2"/>
                <c:pt idx="0">
                  <c:v>187792</c:v>
                </c:pt>
                <c:pt idx="1">
                  <c:v>169961</c:v>
                </c:pt>
              </c:numCache>
            </c:numRef>
          </c:val>
        </c:ser>
        <c:ser>
          <c:idx val="1"/>
          <c:order val="1"/>
          <c:tx>
            <c:v>Apple</c:v>
          </c:tx>
          <c:spPr>
            <a:solidFill>
              <a:srgbClr val="555555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Financials!$A$4:$A$5</c:f>
              <c:strCache>
                <c:ptCount val="2"/>
                <c:pt idx="0">
                  <c:v>Quarterly Net Sales</c:v>
                </c:pt>
                <c:pt idx="1">
                  <c:v>Prior Year Quarter</c:v>
                </c:pt>
              </c:strCache>
            </c:strRef>
          </c:cat>
          <c:val>
            <c:numRef>
              <c:f>Financials!$C$4:$C$5</c:f>
              <c:numCache>
                <c:formatCode>General</c:formatCode>
                <c:ptCount val="2"/>
                <c:pt idx="0">
                  <c:v>85777</c:v>
                </c:pt>
                <c:pt idx="1">
                  <c:v>81797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Operating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Amazon</c:v>
          </c:tx>
          <c:spPr>
            <a:solidFill>
              <a:srgbClr val="FF99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Financials!$A$13</c:f>
              <c:strCache>
                <c:ptCount val="1"/>
                <c:pt idx="0">
                  <c:v>Quarterly Operating Margin</c:v>
                </c:pt>
              </c:strCache>
            </c:strRef>
          </c:cat>
          <c:val>
            <c:numRef>
              <c:f>Financials!$B$13</c:f>
              <c:numCache>
                <c:formatCode>General</c:formatCode>
                <c:ptCount val="1"/>
                <c:pt idx="0">
                  <c:v>0.1128867924528302</c:v>
                </c:pt>
              </c:numCache>
            </c:numRef>
          </c:val>
        </c:ser>
        <c:ser>
          <c:idx val="1"/>
          <c:order val="1"/>
          <c:tx>
            <c:v>Apple</c:v>
          </c:tx>
          <c:spPr>
            <a:solidFill>
              <a:srgbClr val="555555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Financials!$A$13</c:f>
              <c:strCache>
                <c:ptCount val="1"/>
                <c:pt idx="0">
                  <c:v>Quarterly Operating Margin</c:v>
                </c:pt>
              </c:strCache>
            </c:strRef>
          </c:cat>
          <c:val>
            <c:numRef>
              <c:f>Financials!$C$13</c:f>
              <c:numCache>
                <c:formatCode>General</c:formatCode>
                <c:ptCount val="1"/>
                <c:pt idx="0">
                  <c:v>0.2955667902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Amazon Revenue Mix ($M)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Amazon Revenue Mix</c:v>
          </c:tx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Segments!$A$3:$A$5</c:f>
              <c:strCache>
                <c:ptCount val="3"/>
                <c:pt idx="0">
                  <c:v>North America</c:v>
                </c:pt>
                <c:pt idx="1">
                  <c:v>International</c:v>
                </c:pt>
                <c:pt idx="2">
                  <c:v>AWS</c:v>
                </c:pt>
              </c:strCache>
            </c:strRef>
          </c:cat>
          <c:val>
            <c:numRef>
              <c:f>Segments!$B$3:$B$5</c:f>
              <c:numCache>
                <c:formatCode>General</c:formatCode>
                <c:ptCount val="3"/>
                <c:pt idx="0">
                  <c:v>115586</c:v>
                </c:pt>
                <c:pt idx="1">
                  <c:v>43420</c:v>
                </c:pt>
                <c:pt idx="2">
                  <c:v>28786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Amazon Segment Op Margin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Operating Margin</c:v>
          </c:tx>
          <c:spPr>
            <a:solidFill>
              <a:srgbClr val="FF99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Segments!$A$3:$A$5</c:f>
              <c:strCache>
                <c:ptCount val="3"/>
                <c:pt idx="0">
                  <c:v>North America</c:v>
                </c:pt>
                <c:pt idx="1">
                  <c:v>International</c:v>
                </c:pt>
                <c:pt idx="2">
                  <c:v>AWS</c:v>
                </c:pt>
              </c:strCache>
            </c:strRef>
          </c:cat>
          <c:val>
            <c:numRef>
              <c:f>Segments!$F$3:$F$5</c:f>
              <c:numCache>
                <c:formatCode>General</c:formatCode>
                <c:ptCount val="3"/>
                <c:pt idx="0">
                  <c:v>0.08007788161993769</c:v>
                </c:pt>
                <c:pt idx="1">
                  <c:v>0.03027947598253275</c:v>
                </c:pt>
                <c:pt idx="2">
                  <c:v>0.3693693693693694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Apple Revenue Mix ($M)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Apple Revenue Mix</c:v>
          </c:tx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Segments!$A$10:$A$14</c:f>
              <c:strCache>
                <c:ptCount val="5"/>
                <c:pt idx="0">
                  <c:v>Americas</c:v>
                </c:pt>
                <c:pt idx="1">
                  <c:v>Europe</c:v>
                </c:pt>
                <c:pt idx="2">
                  <c:v>Greater China</c:v>
                </c:pt>
                <c:pt idx="3">
                  <c:v>Japan</c:v>
                </c:pt>
                <c:pt idx="4">
                  <c:v>Rest of Asia Pacific</c:v>
                </c:pt>
              </c:strCache>
            </c:strRef>
          </c:cat>
          <c:val>
            <c:numRef>
              <c:f>Segments!$B$10:$B$14</c:f>
              <c:numCache>
                <c:formatCode>General</c:formatCode>
                <c:ptCount val="5"/>
                <c:pt idx="0">
                  <c:v>37678</c:v>
                </c:pt>
                <c:pt idx="1">
                  <c:v>21884</c:v>
                </c:pt>
                <c:pt idx="2">
                  <c:v>14728</c:v>
                </c:pt>
                <c:pt idx="3">
                  <c:v>5097</c:v>
                </c:pt>
                <c:pt idx="4">
                  <c:v>6390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Apple Segment Op Margin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Operating Margin</c:v>
          </c:tx>
          <c:spPr>
            <a:solidFill>
              <a:srgbClr val="555555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Segments!$A$10:$A$14</c:f>
              <c:strCache>
                <c:ptCount val="5"/>
                <c:pt idx="0">
                  <c:v>Americas</c:v>
                </c:pt>
                <c:pt idx="1">
                  <c:v>Europe</c:v>
                </c:pt>
                <c:pt idx="2">
                  <c:v>Greater China</c:v>
                </c:pt>
                <c:pt idx="3">
                  <c:v>Japan</c:v>
                </c:pt>
                <c:pt idx="4">
                  <c:v>Rest of Asia Pacific</c:v>
                </c:pt>
              </c:strCache>
            </c:strRef>
          </c:cat>
          <c:val>
            <c:numRef>
              <c:f>Segments!$F$10:$F$14</c:f>
              <c:numCache>
                <c:formatCode>General</c:formatCode>
                <c:ptCount val="5"/>
                <c:pt idx="0">
                  <c:v>0.4037298257</c:v>
                </c:pt>
                <c:pt idx="1">
                  <c:v>0.4191264666</c:v>
                </c:pt>
                <c:pt idx="2">
                  <c:v>0.3775709104</c:v>
                </c:pt>
                <c:pt idx="3">
                  <c:v>0.4990584598</c:v>
                </c:pt>
                <c:pt idx="4">
                  <c:v>0.4087558685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Operating CF vs CapEx vs Free CF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Operating CF</c:v>
          </c:tx>
          <c:spPr>
            <a:solidFill>
              <a:srgbClr val="2196F3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Flow'!$A$24:$A$25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Flow'!$B$24:$B$25</c:f>
              <c:numCache>
                <c:formatCode>General</c:formatCode>
                <c:ptCount val="2"/>
                <c:pt idx="0">
                  <c:v>115877</c:v>
                </c:pt>
                <c:pt idx="1">
                  <c:v>91443</c:v>
                </c:pt>
              </c:numCache>
            </c:numRef>
          </c:val>
        </c:ser>
        <c:ser>
          <c:idx val="1"/>
          <c:order val="1"/>
          <c:tx>
            <c:v>CapEx</c:v>
          </c:tx>
          <c:spPr>
            <a:solidFill>
              <a:srgbClr val="F44336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Flow'!$A$24:$A$25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Flow'!$C$24:$C$25</c:f>
              <c:numCache>
                <c:formatCode>General</c:formatCode>
                <c:ptCount val="2"/>
                <c:pt idx="0">
                  <c:v>82999</c:v>
                </c:pt>
                <c:pt idx="1">
                  <c:v>6539</c:v>
                </c:pt>
              </c:numCache>
            </c:numRef>
          </c:val>
        </c:ser>
        <c:ser>
          <c:idx val="2"/>
          <c:order val="2"/>
          <c:tx>
            <c:v>Free CF</c:v>
          </c:tx>
          <c:spPr>
            <a:solidFill>
              <a:srgbClr val="4CAF5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Flow'!$A$24:$A$25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Flow'!$D$24:$D$25</c:f>
              <c:numCache>
                <c:formatCode>General</c:formatCode>
                <c:ptCount val="2"/>
                <c:pt idx="0">
                  <c:v>38219</c:v>
                </c:pt>
                <c:pt idx="1">
                  <c:v>84904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#,##0" sourceLinked="0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Cash &amp; Securities vs Total Debt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&amp; Securities</c:v>
          </c:tx>
          <c:spPr>
            <a:solidFill>
              <a:srgbClr val="4CAF5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Flow'!$A$28:$A$29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Flow'!$B$28:$B$29</c:f>
              <c:numCache>
                <c:formatCode>General</c:formatCode>
                <c:ptCount val="2"/>
                <c:pt idx="0">
                  <c:v>101202</c:v>
                </c:pt>
                <c:pt idx="1">
                  <c:v>153041</c:v>
                </c:pt>
              </c:numCache>
            </c:numRef>
          </c:val>
        </c:ser>
        <c:ser>
          <c:idx val="1"/>
          <c:order val="1"/>
          <c:tx>
            <c:v>Total Debt</c:v>
          </c:tx>
          <c:spPr>
            <a:solidFill>
              <a:srgbClr val="F44336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Flow'!$A$28:$A$29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Flow'!$C$28:$C$29</c:f>
              <c:numCache>
                <c:formatCode>General</c:formatCode>
                <c:ptCount val="2"/>
                <c:pt idx="0">
                  <c:v>52623</c:v>
                </c:pt>
                <c:pt idx="1">
                  <c:v>101304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#,##0" sourceLinked="0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Amazon Guidance Range — Q1 2025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Low</c:v>
          </c:tx>
          <c:spPr>
            <a:noFill/>
            <a:ln>
              <a:noFill/>
            </a:ln>
          </c:spPr>
          <c:cat>
            <c:strRef>
              <c:f>Guidance!$A$18:$A$19</c:f>
              <c:strCache>
                <c:ptCount val="2"/>
                <c:pt idx="0">
                  <c:v>Revenue</c:v>
                </c:pt>
                <c:pt idx="1">
                  <c:v>Operating Income</c:v>
                </c:pt>
              </c:strCache>
            </c:strRef>
          </c:cat>
          <c:val>
            <c:numRef>
              <c:f>Guidance!$B$18:$B$19</c:f>
              <c:numCache>
                <c:formatCode>General</c:formatCode>
                <c:ptCount val="2"/>
                <c:pt idx="0">
                  <c:v>151000</c:v>
                </c:pt>
                <c:pt idx="1">
                  <c:v>14000</c:v>
                </c:pt>
              </c:numCache>
            </c:numRef>
          </c:val>
        </c:ser>
        <c:ser>
          <c:idx val="1"/>
          <c:order val="1"/>
          <c:tx>
            <c:v>Range</c:v>
          </c:tx>
          <c:spPr>
            <a:solidFill>
              <a:srgbClr val="FF990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Guidance!$A$18:$A$19</c:f>
              <c:strCache>
                <c:ptCount val="2"/>
                <c:pt idx="0">
                  <c:v>Revenue</c:v>
                </c:pt>
                <c:pt idx="1">
                  <c:v>Operating Income</c:v>
                </c:pt>
              </c:strCache>
            </c:strRef>
          </c:cat>
          <c:val>
            <c:numRef>
              <c:f>Guidance!$C$18:$C$19</c:f>
              <c:numCache>
                <c:formatCode>General</c:formatCode>
                <c:ptCount val="2"/>
                <c:pt idx="0">
                  <c:v>4500</c:v>
                </c:pt>
                <c:pt idx="1">
                  <c:v>4000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b"/>
        <c:majorGridlines/>
        <c:numFmt formatCode="$#,##0" sourceLinked="0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12</xdr:col>
      <xdr:colOff>76200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495300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19050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15</xdr:col>
      <xdr:colOff>495300</xdr:colOff>
      <xdr:row>24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19050</xdr:colOff>
      <xdr:row>39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76200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2.7109375" customWidth="1"/>
    <col min="2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3" spans="1:3">
      <c r="A3" s="2" t="s">
        <v>3</v>
      </c>
      <c r="B3" s="2"/>
      <c r="C3" s="2"/>
    </row>
    <row r="4" spans="1:3">
      <c r="A4" s="3" t="s">
        <v>4</v>
      </c>
      <c r="B4" s="4">
        <v>187792</v>
      </c>
      <c r="C4" s="4">
        <v>85777</v>
      </c>
    </row>
    <row r="5" spans="1:3">
      <c r="A5" s="5" t="s">
        <v>5</v>
      </c>
      <c r="B5" s="6">
        <v>169961</v>
      </c>
      <c r="C5" s="6">
        <v>81797</v>
      </c>
    </row>
    <row r="6" spans="1:3">
      <c r="A6" s="3" t="s">
        <v>6</v>
      </c>
      <c r="B6" s="7">
        <v>0.10489735861964</v>
      </c>
      <c r="C6" s="7">
        <v>0.04872646646</v>
      </c>
    </row>
    <row r="7" spans="1:3">
      <c r="A7" s="5" t="s">
        <v>7</v>
      </c>
      <c r="B7" s="6">
        <v>637959</v>
      </c>
      <c r="C7" s="6">
        <v>296105</v>
      </c>
    </row>
    <row r="8" spans="1:3">
      <c r="A8" s="3" t="s">
        <v>8</v>
      </c>
      <c r="B8" s="4">
        <v>574785</v>
      </c>
      <c r="C8" s="4">
        <v>293787</v>
      </c>
    </row>
    <row r="9" spans="1:3">
      <c r="A9" s="5" t="s">
        <v>9</v>
      </c>
      <c r="B9" s="8">
        <v>0.1098679245283019</v>
      </c>
      <c r="C9" s="8">
        <v>0.007898857990000001</v>
      </c>
    </row>
    <row r="11" spans="1:3">
      <c r="A11" s="2" t="s">
        <v>10</v>
      </c>
      <c r="B11" s="2"/>
      <c r="C11" s="2"/>
    </row>
    <row r="12" spans="1:3">
      <c r="A12" s="3" t="s">
        <v>11</v>
      </c>
      <c r="B12" s="4">
        <v>21203</v>
      </c>
      <c r="C12" s="4">
        <v>25352</v>
      </c>
    </row>
    <row r="13" spans="1:3">
      <c r="A13" s="5" t="s">
        <v>12</v>
      </c>
      <c r="B13" s="8">
        <v>0.1128867924528302</v>
      </c>
      <c r="C13" s="8">
        <v>0.2955667902</v>
      </c>
    </row>
    <row r="14" spans="1:3">
      <c r="A14" s="3" t="s">
        <v>13</v>
      </c>
      <c r="B14" s="4">
        <v>68593</v>
      </c>
      <c r="C14" s="4">
        <v>93625</v>
      </c>
    </row>
    <row r="15" spans="1:3">
      <c r="A15" s="5" t="s">
        <v>14</v>
      </c>
      <c r="B15" s="8">
        <v>0.1075067924528302</v>
      </c>
      <c r="C15" s="8">
        <v>0.3162098202</v>
      </c>
    </row>
    <row r="17" spans="1:3">
      <c r="A17" s="2" t="s">
        <v>15</v>
      </c>
      <c r="B17" s="2"/>
      <c r="C17" s="2"/>
    </row>
    <row r="18" spans="1:3">
      <c r="A18" s="3" t="s">
        <v>16</v>
      </c>
      <c r="B18" s="4">
        <v>20004</v>
      </c>
      <c r="C18" s="4">
        <v>21448</v>
      </c>
    </row>
    <row r="19" spans="1:3">
      <c r="A19" s="5" t="s">
        <v>17</v>
      </c>
      <c r="B19" s="9">
        <v>1.9</v>
      </c>
      <c r="C19" s="9">
        <v>1.4</v>
      </c>
    </row>
    <row r="20" spans="1:3">
      <c r="A20" s="3" t="s">
        <v>18</v>
      </c>
      <c r="B20" s="10">
        <v>1.86</v>
      </c>
      <c r="C20" s="10">
        <v>1.4</v>
      </c>
    </row>
    <row r="21" spans="1:3">
      <c r="A21" s="5" t="s">
        <v>19</v>
      </c>
      <c r="B21" s="6">
        <v>59248</v>
      </c>
      <c r="C21" s="6">
        <v>79000</v>
      </c>
    </row>
    <row r="22" spans="1:3">
      <c r="A22" s="3" t="s">
        <v>20</v>
      </c>
      <c r="B22" s="10">
        <v>5.66</v>
      </c>
      <c r="C22" s="10">
        <v>5.13</v>
      </c>
    </row>
    <row r="23" spans="1:3">
      <c r="A23" s="5" t="s">
        <v>21</v>
      </c>
      <c r="B23" s="9">
        <v>5.53</v>
      </c>
      <c r="C23" s="9">
        <v>5.11</v>
      </c>
    </row>
    <row r="25" spans="1:3">
      <c r="A25" s="2" t="s">
        <v>22</v>
      </c>
      <c r="B25" s="2"/>
      <c r="C25" s="2"/>
    </row>
    <row r="26" spans="1:3">
      <c r="A26" s="3" t="s">
        <v>23</v>
      </c>
      <c r="B26" s="4">
        <v>115877</v>
      </c>
      <c r="C26" s="4">
        <v>91443</v>
      </c>
    </row>
    <row r="27" spans="1:3">
      <c r="A27" s="5" t="s">
        <v>24</v>
      </c>
      <c r="B27" s="6">
        <v>38219</v>
      </c>
      <c r="C27" s="6">
        <v>84904</v>
      </c>
    </row>
    <row r="28" spans="1:3">
      <c r="A28" s="3" t="s">
        <v>25</v>
      </c>
      <c r="B28" s="4">
        <v>82999</v>
      </c>
      <c r="C28" s="4">
        <v>6539</v>
      </c>
    </row>
  </sheetData>
  <mergeCells count="4">
    <mergeCell ref="A3:C3"/>
    <mergeCell ref="A11:C11"/>
    <mergeCell ref="A17:C17"/>
    <mergeCell ref="A25:C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24.7109375" customWidth="1"/>
    <col min="2" max="7" width="20.7109375" customWidth="1"/>
  </cols>
  <sheetData>
    <row r="1" spans="1:7">
      <c r="A1" s="2" t="s">
        <v>26</v>
      </c>
      <c r="B1" s="2"/>
      <c r="C1" s="2"/>
      <c r="D1" s="2"/>
      <c r="E1" s="2"/>
      <c r="F1" s="2"/>
      <c r="G1" s="2"/>
    </row>
    <row r="2" spans="1: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>
      <c r="A3" s="3" t="s">
        <v>34</v>
      </c>
      <c r="B3" s="4">
        <v>115586</v>
      </c>
      <c r="C3" s="4">
        <v>105514</v>
      </c>
      <c r="D3" s="7">
        <v>0.09554679354679355</v>
      </c>
      <c r="E3" s="4">
        <v>9256</v>
      </c>
      <c r="F3" s="7">
        <v>0.08007788161993769</v>
      </c>
      <c r="G3" s="7">
        <v>0.6153333333333333</v>
      </c>
    </row>
    <row r="4" spans="1:7">
      <c r="A4" s="5" t="s">
        <v>35</v>
      </c>
      <c r="B4" s="6">
        <v>43420</v>
      </c>
      <c r="C4" s="6">
        <v>40243</v>
      </c>
      <c r="D4" s="8">
        <v>0.07896646174798999</v>
      </c>
      <c r="E4" s="6">
        <v>1315</v>
      </c>
      <c r="F4" s="8">
        <v>0.03027947598253275</v>
      </c>
      <c r="G4" s="8">
        <v>0.2311666666666667</v>
      </c>
    </row>
    <row r="5" spans="1:7">
      <c r="A5" s="3" t="s">
        <v>36</v>
      </c>
      <c r="B5" s="4">
        <v>28786</v>
      </c>
      <c r="C5" s="4">
        <v>24204</v>
      </c>
      <c r="D5" s="7">
        <v>0.18965289114521</v>
      </c>
      <c r="E5" s="4">
        <v>10632</v>
      </c>
      <c r="F5" s="7">
        <v>0.3693693693693694</v>
      </c>
      <c r="G5" s="7">
        <v>0.1533333333333333</v>
      </c>
    </row>
    <row r="8" spans="1:7">
      <c r="A8" s="2" t="s">
        <v>37</v>
      </c>
      <c r="B8" s="2"/>
      <c r="C8" s="2"/>
      <c r="D8" s="2"/>
      <c r="E8" s="2"/>
      <c r="F8" s="2"/>
      <c r="G8" s="2"/>
    </row>
    <row r="9" spans="1:7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32</v>
      </c>
      <c r="G9" s="1" t="s">
        <v>33</v>
      </c>
    </row>
    <row r="10" spans="1:7">
      <c r="A10" s="3" t="s">
        <v>38</v>
      </c>
      <c r="B10" s="4">
        <v>37678</v>
      </c>
      <c r="C10" s="4">
        <v>35383</v>
      </c>
      <c r="D10" s="7">
        <v>0.06493646682</v>
      </c>
      <c r="E10" s="4">
        <v>15209</v>
      </c>
      <c r="F10" s="7">
        <v>0.4037298257</v>
      </c>
      <c r="G10" s="7">
        <v>0.43918678</v>
      </c>
    </row>
    <row r="11" spans="1:7">
      <c r="A11" s="5" t="s">
        <v>39</v>
      </c>
      <c r="B11" s="6">
        <v>21884</v>
      </c>
      <c r="C11" s="6">
        <v>20205</v>
      </c>
      <c r="D11" s="8">
        <v>0.08297950636</v>
      </c>
      <c r="E11" s="6">
        <v>9170</v>
      </c>
      <c r="F11" s="8">
        <v>0.4191264666</v>
      </c>
      <c r="G11" s="8">
        <v>0.25507678</v>
      </c>
    </row>
    <row r="12" spans="1:7">
      <c r="A12" s="3" t="s">
        <v>40</v>
      </c>
      <c r="B12" s="4">
        <v>14728</v>
      </c>
      <c r="C12" s="4">
        <v>15758</v>
      </c>
      <c r="D12" s="7">
        <v>-0.06537964456000001</v>
      </c>
      <c r="E12" s="4">
        <v>5562</v>
      </c>
      <c r="F12" s="7">
        <v>0.3775709104</v>
      </c>
      <c r="G12" s="7">
        <v>0.17171678</v>
      </c>
    </row>
    <row r="13" spans="1:7">
      <c r="A13" s="5" t="s">
        <v>41</v>
      </c>
      <c r="B13" s="6">
        <v>5097</v>
      </c>
      <c r="C13" s="6">
        <v>4821</v>
      </c>
      <c r="D13" s="8">
        <v>0.05725702562000001</v>
      </c>
      <c r="E13" s="6">
        <v>2544</v>
      </c>
      <c r="F13" s="8">
        <v>0.4990584598</v>
      </c>
      <c r="G13" s="8">
        <v>0.05940678</v>
      </c>
    </row>
    <row r="14" spans="1:7">
      <c r="A14" s="3" t="s">
        <v>42</v>
      </c>
      <c r="B14" s="4">
        <v>6390</v>
      </c>
      <c r="C14" s="4">
        <v>5630</v>
      </c>
      <c r="D14" s="7">
        <v>0.1351599147</v>
      </c>
      <c r="E14" s="4">
        <v>2610</v>
      </c>
      <c r="F14" s="7">
        <v>0.4087558685</v>
      </c>
      <c r="G14" s="7">
        <v>0.07461677999999999</v>
      </c>
    </row>
  </sheetData>
  <mergeCells count="2">
    <mergeCell ref="A1:G1"/>
    <mergeCell ref="A8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cols>
    <col min="1" max="1" width="36.7109375" customWidth="1"/>
    <col min="2" max="3" width="30.7109375" customWidth="1"/>
  </cols>
  <sheetData>
    <row r="1" spans="1:3">
      <c r="A1" s="1" t="s">
        <v>43</v>
      </c>
      <c r="B1" s="1" t="s">
        <v>1</v>
      </c>
      <c r="C1" s="1" t="s">
        <v>2</v>
      </c>
    </row>
    <row r="3" spans="1:3">
      <c r="A3" s="2" t="s">
        <v>44</v>
      </c>
      <c r="B3" s="2"/>
      <c r="C3" s="2"/>
    </row>
    <row r="4" spans="1:3">
      <c r="A4" s="3" t="s">
        <v>45</v>
      </c>
      <c r="B4" s="4">
        <v>82999</v>
      </c>
      <c r="C4" s="4">
        <v>6539</v>
      </c>
    </row>
    <row r="5" spans="1:3">
      <c r="A5" s="5" t="s">
        <v>46</v>
      </c>
      <c r="B5" s="6">
        <v>854</v>
      </c>
    </row>
    <row r="6" spans="1:3">
      <c r="A6" s="3" t="s">
        <v>47</v>
      </c>
      <c r="B6" s="4">
        <v>5341</v>
      </c>
    </row>
    <row r="8" spans="1:3">
      <c r="A8" s="2" t="s">
        <v>48</v>
      </c>
      <c r="B8" s="2"/>
      <c r="C8" s="2"/>
    </row>
    <row r="9" spans="1:3">
      <c r="A9" s="5" t="s">
        <v>49</v>
      </c>
      <c r="B9" s="6">
        <v>9182</v>
      </c>
      <c r="C9" s="6">
        <v>7400</v>
      </c>
    </row>
    <row r="10" spans="1:3">
      <c r="A10" s="3" t="s">
        <v>50</v>
      </c>
      <c r="B10" s="4">
        <v>5060</v>
      </c>
      <c r="C10" s="4">
        <v>2985</v>
      </c>
    </row>
    <row r="12" spans="1:3">
      <c r="A12" s="2" t="s">
        <v>51</v>
      </c>
      <c r="B12" s="2"/>
      <c r="C12" s="2"/>
    </row>
    <row r="13" spans="1:3">
      <c r="A13" s="5" t="s">
        <v>52</v>
      </c>
      <c r="B13" s="6">
        <v>2043</v>
      </c>
    </row>
    <row r="14" spans="1:3">
      <c r="A14" s="3" t="s">
        <v>53</v>
      </c>
      <c r="B14" s="4">
        <v>12341</v>
      </c>
    </row>
    <row r="16" spans="1:3">
      <c r="A16" s="2" t="s">
        <v>54</v>
      </c>
      <c r="B16" s="2"/>
      <c r="C16" s="2"/>
    </row>
    <row r="17" spans="1:4">
      <c r="A17" s="5" t="s">
        <v>55</v>
      </c>
      <c r="B17" s="6">
        <v>78779</v>
      </c>
      <c r="C17" s="6">
        <v>25565</v>
      </c>
    </row>
    <row r="18" spans="1:4">
      <c r="A18" s="3" t="s">
        <v>56</v>
      </c>
      <c r="B18" s="4">
        <v>22423</v>
      </c>
      <c r="C18" s="4">
        <v>36236</v>
      </c>
    </row>
    <row r="19" spans="1:4">
      <c r="A19" s="5" t="s">
        <v>57</v>
      </c>
      <c r="C19" s="6">
        <v>91240</v>
      </c>
    </row>
    <row r="20" spans="1:4">
      <c r="A20" s="3" t="s">
        <v>58</v>
      </c>
      <c r="B20" s="4">
        <v>52623</v>
      </c>
      <c r="C20" s="4">
        <v>101304</v>
      </c>
    </row>
    <row r="23" spans="1:4">
      <c r="A23" s="3"/>
      <c r="B23" s="1" t="s">
        <v>59</v>
      </c>
      <c r="C23" s="1" t="s">
        <v>60</v>
      </c>
      <c r="D23" s="1" t="s">
        <v>61</v>
      </c>
    </row>
    <row r="24" spans="1:4">
      <c r="A24" s="3" t="s">
        <v>62</v>
      </c>
      <c r="B24" s="4">
        <v>115877</v>
      </c>
      <c r="C24" s="4">
        <v>82999</v>
      </c>
      <c r="D24" s="4">
        <v>38219</v>
      </c>
    </row>
    <row r="25" spans="1:4">
      <c r="A25" s="3" t="s">
        <v>63</v>
      </c>
      <c r="B25" s="4">
        <v>91443</v>
      </c>
      <c r="C25" s="4">
        <v>6539</v>
      </c>
      <c r="D25" s="4">
        <v>84904</v>
      </c>
    </row>
    <row r="27" spans="1:4">
      <c r="A27" s="3"/>
      <c r="B27" s="1" t="s">
        <v>64</v>
      </c>
      <c r="C27" s="1" t="s">
        <v>58</v>
      </c>
    </row>
    <row r="28" spans="1:4">
      <c r="A28" s="3" t="s">
        <v>62</v>
      </c>
      <c r="B28" s="4">
        <v>101202</v>
      </c>
      <c r="C28" s="4">
        <v>52623</v>
      </c>
    </row>
    <row r="29" spans="1:4">
      <c r="A29" s="3" t="s">
        <v>63</v>
      </c>
      <c r="B29" s="4">
        <v>153041</v>
      </c>
      <c r="C29" s="4">
        <v>101304</v>
      </c>
    </row>
  </sheetData>
  <mergeCells count="4">
    <mergeCell ref="A3:C3"/>
    <mergeCell ref="A8:C8"/>
    <mergeCell ref="A12:C12"/>
    <mergeCell ref="A16:C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28.7109375" customWidth="1"/>
    <col min="2" max="3" width="30.7109375" customWidth="1"/>
  </cols>
  <sheetData>
    <row r="1" spans="1:3">
      <c r="A1" s="1" t="s">
        <v>65</v>
      </c>
      <c r="B1" s="1" t="s">
        <v>62</v>
      </c>
      <c r="C1" s="1" t="s">
        <v>63</v>
      </c>
    </row>
    <row r="3" spans="1:3">
      <c r="A3" s="2" t="s">
        <v>66</v>
      </c>
      <c r="B3" s="2"/>
      <c r="C3" s="2"/>
    </row>
    <row r="4" spans="1:3">
      <c r="A4" s="3" t="s">
        <v>67</v>
      </c>
      <c r="B4" s="11" t="s">
        <v>68</v>
      </c>
      <c r="C4" s="12" t="s">
        <v>69</v>
      </c>
    </row>
    <row r="5" spans="1:3">
      <c r="A5" s="5" t="s">
        <v>70</v>
      </c>
      <c r="B5" s="6">
        <v>151000</v>
      </c>
      <c r="C5" s="12" t="s">
        <v>69</v>
      </c>
    </row>
    <row r="6" spans="1:3">
      <c r="A6" s="3" t="s">
        <v>71</v>
      </c>
      <c r="B6" s="4">
        <v>155500</v>
      </c>
      <c r="C6" s="12" t="s">
        <v>69</v>
      </c>
    </row>
    <row r="7" spans="1:3">
      <c r="A7" s="5" t="s">
        <v>72</v>
      </c>
      <c r="B7" s="8">
        <v>0.05</v>
      </c>
      <c r="C7" s="12" t="s">
        <v>69</v>
      </c>
    </row>
    <row r="8" spans="1:3">
      <c r="A8" s="3" t="s">
        <v>73</v>
      </c>
      <c r="B8" s="7">
        <v>0.09</v>
      </c>
      <c r="C8" s="12" t="s">
        <v>69</v>
      </c>
    </row>
    <row r="9" spans="1:3">
      <c r="A9" s="5" t="s">
        <v>74</v>
      </c>
      <c r="B9" s="6">
        <v>14000</v>
      </c>
      <c r="C9" s="12" t="s">
        <v>69</v>
      </c>
    </row>
    <row r="10" spans="1:3">
      <c r="A10" s="3" t="s">
        <v>75</v>
      </c>
      <c r="B10" s="4">
        <v>18000</v>
      </c>
      <c r="C10" s="12" t="s">
        <v>69</v>
      </c>
    </row>
    <row r="12" spans="1:3">
      <c r="A12" s="2" t="s">
        <v>76</v>
      </c>
      <c r="B12" s="2"/>
      <c r="C12" s="2"/>
    </row>
    <row r="13" spans="1:3">
      <c r="A13" s="5" t="s">
        <v>77</v>
      </c>
      <c r="B13" s="6">
        <v>2100</v>
      </c>
      <c r="C13" s="12" t="s">
        <v>69</v>
      </c>
    </row>
    <row r="14" spans="1:3">
      <c r="A14" s="3" t="s">
        <v>78</v>
      </c>
      <c r="B14" s="4">
        <v>150</v>
      </c>
      <c r="C14" s="12" t="s">
        <v>69</v>
      </c>
    </row>
    <row r="17" spans="1:3">
      <c r="A17" s="3"/>
      <c r="B17" s="1" t="s">
        <v>79</v>
      </c>
      <c r="C17" s="1" t="s">
        <v>80</v>
      </c>
    </row>
    <row r="18" spans="1:3">
      <c r="A18" s="3" t="s">
        <v>81</v>
      </c>
      <c r="B18" s="4">
        <v>151000</v>
      </c>
      <c r="C18" s="4">
        <v>4500</v>
      </c>
    </row>
    <row r="19" spans="1:3">
      <c r="A19" s="3" t="s">
        <v>82</v>
      </c>
      <c r="B19" s="4">
        <v>14000</v>
      </c>
      <c r="C19" s="4">
        <v>4000</v>
      </c>
    </row>
  </sheetData>
  <mergeCells count="2">
    <mergeCell ref="A3:C3"/>
    <mergeCell ref="A12:C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32.7109375" customWidth="1"/>
    <col min="2" max="3" width="30.7109375" customWidth="1"/>
  </cols>
  <sheetData>
    <row r="1" spans="1:3">
      <c r="A1" s="1" t="s">
        <v>65</v>
      </c>
      <c r="B1" s="1" t="s">
        <v>1</v>
      </c>
      <c r="C1" s="1" t="s">
        <v>2</v>
      </c>
    </row>
    <row r="3" spans="1:3">
      <c r="A3" s="2" t="s">
        <v>83</v>
      </c>
      <c r="B3" s="2"/>
      <c r="C3" s="2"/>
    </row>
    <row r="4" spans="1:3">
      <c r="A4" s="3" t="s">
        <v>84</v>
      </c>
      <c r="B4" s="4">
        <v>4995</v>
      </c>
      <c r="C4" s="4">
        <v>2869</v>
      </c>
    </row>
    <row r="5" spans="1:3">
      <c r="A5" s="5" t="s">
        <v>85</v>
      </c>
      <c r="B5" s="6">
        <v>6319</v>
      </c>
      <c r="C5" s="6">
        <v>2617</v>
      </c>
    </row>
    <row r="6" spans="1:3">
      <c r="A6" s="3" t="s">
        <v>86</v>
      </c>
      <c r="B6" s="4">
        <v>22011</v>
      </c>
      <c r="C6" s="4">
        <v>8830</v>
      </c>
    </row>
    <row r="7" spans="1:3">
      <c r="A7" s="5" t="s">
        <v>87</v>
      </c>
      <c r="B7" s="6">
        <v>24023</v>
      </c>
      <c r="C7" s="6">
        <v>8208</v>
      </c>
    </row>
    <row r="9" spans="1:3">
      <c r="A9" s="2" t="s">
        <v>88</v>
      </c>
      <c r="B9" s="2"/>
      <c r="C9" s="2"/>
    </row>
    <row r="10" spans="1:3">
      <c r="A10" s="2" t="s">
        <v>89</v>
      </c>
      <c r="B10" s="1" t="s">
        <v>90</v>
      </c>
      <c r="C10" s="1" t="s">
        <v>91</v>
      </c>
    </row>
    <row r="11" spans="1:3">
      <c r="A11" s="3" t="s">
        <v>92</v>
      </c>
      <c r="B11" s="12" t="s">
        <v>93</v>
      </c>
      <c r="C11" s="12" t="s">
        <v>94</v>
      </c>
    </row>
    <row r="12" spans="1:3">
      <c r="A12" s="3" t="s">
        <v>95</v>
      </c>
      <c r="B12" s="12" t="s">
        <v>96</v>
      </c>
      <c r="C12" s="12" t="s">
        <v>97</v>
      </c>
    </row>
    <row r="15" spans="1:3">
      <c r="A15" s="2" t="s">
        <v>98</v>
      </c>
      <c r="B15" s="2"/>
      <c r="C15" s="2"/>
    </row>
    <row r="16" spans="1:3">
      <c r="A16" s="11" t="s">
        <v>99</v>
      </c>
    </row>
    <row r="17" spans="1:1">
      <c r="A17" s="11" t="s">
        <v>100</v>
      </c>
    </row>
    <row r="18" spans="1:1">
      <c r="A18" s="11" t="s">
        <v>101</v>
      </c>
    </row>
    <row r="19" spans="1:1">
      <c r="A19" s="11" t="s">
        <v>102</v>
      </c>
    </row>
  </sheetData>
  <mergeCells count="3">
    <mergeCell ref="A3:C3"/>
    <mergeCell ref="A9:C9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</vt:lpstr>
      <vt:lpstr>Segments</vt:lpstr>
      <vt:lpstr>Cash Flow</vt:lpstr>
      <vt:lpstr>Guidance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2026-04-13T22:55:15Z</dcterms:created>
  <dcterms:modified xsi:type="dcterms:W3CDTF">2026-04-13T22:55:15Z</dcterms:modified>
</cp:coreProperties>
</file>