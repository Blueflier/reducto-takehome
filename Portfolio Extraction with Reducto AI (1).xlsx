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s" sheetId="1" r:id="rId1"/>
    <sheet name="Segments" sheetId="2" r:id="rId2"/>
    <sheet name="Cash Flow" sheetId="3" r:id="rId3"/>
    <sheet name="Guidance" sheetId="4" r:id="rId4"/>
    <sheet name="Notes" sheetId="5" r:id="rId5"/>
  </sheets>
  <calcPr calcId="124519" fullCalcOnLoad="1"/>
</workbook>
</file>

<file path=xl/sharedStrings.xml><?xml version="1.0" encoding="utf-8"?>
<sst xmlns="http://schemas.openxmlformats.org/spreadsheetml/2006/main" count="119" uniqueCount="95">
  <si>
    <t>Metric (in $M except per-share)</t>
  </si>
  <si>
    <t>_10-Q-Q3-2024-As-Filed</t>
  </si>
  <si>
    <t>AMZN-Q4-2024-Earnings-Release</t>
  </si>
  <si>
    <t>NET SALES</t>
  </si>
  <si>
    <t>Quarterly Net Sales</t>
  </si>
  <si>
    <t>Prior Year Quarter</t>
  </si>
  <si>
    <t>Quarterly YoY Growth</t>
  </si>
  <si>
    <t>Full Year Net Sales</t>
  </si>
  <si>
    <t>Prior Full Year</t>
  </si>
  <si>
    <t>Full Year YoY Growth</t>
  </si>
  <si>
    <t>OPERATING INCOME</t>
  </si>
  <si>
    <t>Quarterly Operating Income</t>
  </si>
  <si>
    <t>Quarterly Operating Margin</t>
  </si>
  <si>
    <t>Full Year Operating Income</t>
  </si>
  <si>
    <t>Full Year Operating Margin</t>
  </si>
  <si>
    <t>NET INCOME &amp; EPS</t>
  </si>
  <si>
    <t>Quarterly Net Income</t>
  </si>
  <si>
    <t>Quarterly EPS (Basic)</t>
  </si>
  <si>
    <t>Quarterly EPS (Diluted)</t>
  </si>
  <si>
    <t>Full Year Net Income</t>
  </si>
  <si>
    <t>Full Year EPS (Basic)</t>
  </si>
  <si>
    <t>Full Year EPS (Diluted)</t>
  </si>
  <si>
    <t>CASH FLOW SUMMARY</t>
  </si>
  <si>
    <t>Operating Cash Flow</t>
  </si>
  <si>
    <t>Free Cash Flow</t>
  </si>
  <si>
    <t>CapEx (PP&amp;E Purchases)</t>
  </si>
  <si>
    <t>_10-Q-Q3-2024-As-Filed Segments</t>
  </si>
  <si>
    <t>Segment</t>
  </si>
  <si>
    <t>Net Sales ($M)</t>
  </si>
  <si>
    <t>Prior Year ($M)</t>
  </si>
  <si>
    <t>YoY Growth</t>
  </si>
  <si>
    <t>Op Income ($M)</t>
  </si>
  <si>
    <t>Op Margin</t>
  </si>
  <si>
    <t>Revenue Mix</t>
  </si>
  <si>
    <t>Americas</t>
  </si>
  <si>
    <t>Europe</t>
  </si>
  <si>
    <t>Greater China</t>
  </si>
  <si>
    <t>Japan</t>
  </si>
  <si>
    <t>Rest of Asia Pacific</t>
  </si>
  <si>
    <t>AMZN-Q4-2024-Earnings-Release Segments</t>
  </si>
  <si>
    <t>North America</t>
  </si>
  <si>
    <t>International</t>
  </si>
  <si>
    <t>AWS</t>
  </si>
  <si>
    <t>Metric ($M)</t>
  </si>
  <si>
    <t>CAPITAL EXPENDITURES</t>
  </si>
  <si>
    <t>Purchases of PP&amp;E</t>
  </si>
  <si>
    <t>Finance Lease Additions</t>
  </si>
  <si>
    <t>Proceeds from Asset Sales</t>
  </si>
  <si>
    <t>DEBT SERVICE</t>
  </si>
  <si>
    <t>Long-Term Debt Repayments</t>
  </si>
  <si>
    <t>Short-Term Debt Repayments</t>
  </si>
  <si>
    <t>LEASE OBLIGATIONS</t>
  </si>
  <si>
    <t>Finance Lease Repayments</t>
  </si>
  <si>
    <t>Operating Lease Payments</t>
  </si>
  <si>
    <t>LIQUIDITY</t>
  </si>
  <si>
    <t>Cash &amp; Equivalents</t>
  </si>
  <si>
    <t>Current Marketable Securities</t>
  </si>
  <si>
    <t>Non-Current Marketable Securities</t>
  </si>
  <si>
    <t>Total Debt</t>
  </si>
  <si>
    <t>Operating CF</t>
  </si>
  <si>
    <t>CapEx</t>
  </si>
  <si>
    <t>Free CF</t>
  </si>
  <si>
    <t>Metric</t>
  </si>
  <si>
    <t>FORWARD GUIDANCE</t>
  </si>
  <si>
    <t>Guidance Period</t>
  </si>
  <si>
    <t>Not provided</t>
  </si>
  <si>
    <t>Q1 2025</t>
  </si>
  <si>
    <t>Revenue Low ($M)</t>
  </si>
  <si>
    <t>Revenue High ($M)</t>
  </si>
  <si>
    <t>Revenue Growth Low</t>
  </si>
  <si>
    <t>Revenue Growth High</t>
  </si>
  <si>
    <t>Operating Income Low ($M)</t>
  </si>
  <si>
    <t>Operating Income High ($M)</t>
  </si>
  <si>
    <t>FX IMPACT</t>
  </si>
  <si>
    <t>FX Impact ($M)</t>
  </si>
  <si>
    <t>FX Impact (bps)</t>
  </si>
  <si>
    <t>STOCK-BASED COMPENSATION ($M)</t>
  </si>
  <si>
    <t>Quarterly SBC</t>
  </si>
  <si>
    <t>Prior Year Quarter SBC</t>
  </si>
  <si>
    <t>Full Year SBC</t>
  </si>
  <si>
    <t>Prior Full Year SBC</t>
  </si>
  <si>
    <t>OPERATIONAL KPIs</t>
  </si>
  <si>
    <t>AMZN-Q4-2024-Earnings-Release KPIs</t>
  </si>
  <si>
    <t>Current Value</t>
  </si>
  <si>
    <t>YoY Change</t>
  </si>
  <si>
    <t>WW shipping costs</t>
  </si>
  <si>
    <t>$28,549M</t>
  </si>
  <si>
    <t>4%</t>
  </si>
  <si>
    <t>Employees (full-time and part-time; excludes contractors &amp; temporary personnel)</t>
  </si>
  <si>
    <t>1,556,000</t>
  </si>
  <si>
    <t>2%</t>
  </si>
  <si>
    <t>ASSUMPTIONS &amp; ADJUSTMENTS</t>
  </si>
  <si>
    <t>All monetary values in $M unless noted</t>
  </si>
  <si>
    <t>Free cash flow = Operating Cash Flow - CapEx (computed) when not directly reported</t>
  </si>
  <si>
    <t>Growth percentages calculated: (current - prior) / prior * 100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</si>
</sst>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$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1" xfId="0" applyFont="1" applyBorder="1" applyAlignment="1">
      <alignment horizontal="left" indent="1"/>
    </xf>
    <xf numFmtId="164" fontId="3" fillId="0" borderId="1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left" indent="1"/>
    </xf>
    <xf numFmtId="164" fontId="3" fillId="4" borderId="1" xfId="0" applyNumberFormat="1" applyFont="1" applyFill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6" fontId="3" fillId="4" borderId="1" xfId="0" applyNumberFormat="1" applyFont="1" applyFill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 Net Sales ($M)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_10-Q-Q3-2024-As-Filed</c:v>
          </c:tx>
          <c:spPr>
            <a:solidFill>
              <a:srgbClr val="FF9900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Financials!$A$4:$A$5</c:f>
              <c:strCache>
                <c:ptCount val="2"/>
                <c:pt idx="0">
                  <c:v>Quarterly Net Sales</c:v>
                </c:pt>
                <c:pt idx="1">
                  <c:v>Prior Year Quarter</c:v>
                </c:pt>
              </c:strCache>
            </c:strRef>
          </c:cat>
          <c:val>
            <c:numRef>
              <c:f>Financials!$B$4:$B$5</c:f>
              <c:numCache>
                <c:formatCode>General</c:formatCode>
                <c:ptCount val="2"/>
                <c:pt idx="0">
                  <c:v>85.777</c:v>
                </c:pt>
                <c:pt idx="1">
                  <c:v>81.797</c:v>
                </c:pt>
              </c:numCache>
            </c:numRef>
          </c:val>
        </c:ser>
        <c:ser>
          <c:idx val="1"/>
          <c:order val="1"/>
          <c:tx>
            <c:v>AMZN-Q4-2024-Earnings-Release</c:v>
          </c:tx>
          <c:spPr>
            <a:solidFill>
              <a:srgbClr val="555555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Financials!$A$4:$A$5</c:f>
              <c:strCache>
                <c:ptCount val="2"/>
                <c:pt idx="0">
                  <c:v>Quarterly Net Sales</c:v>
                </c:pt>
                <c:pt idx="1">
                  <c:v>Prior Year Quarter</c:v>
                </c:pt>
              </c:strCache>
            </c:strRef>
          </c:cat>
          <c:val>
            <c:numRef>
              <c:f>Financials!$C$4:$C$5</c:f>
              <c:numCache>
                <c:formatCode>General</c:formatCode>
                <c:ptCount val="2"/>
                <c:pt idx="0">
                  <c:v>187.792</c:v>
                </c:pt>
                <c:pt idx="1">
                  <c:v>169.961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 Operating Margin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_10-Q-Q3-2024-As-Filed</c:v>
          </c:tx>
          <c:spPr>
            <a:solidFill>
              <a:srgbClr val="FF9900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Financials!$A$13</c:f>
              <c:strCache>
                <c:ptCount val="1"/>
                <c:pt idx="0">
                  <c:v>Quarterly Operating Margin</c:v>
                </c:pt>
              </c:strCache>
            </c:strRef>
          </c:cat>
          <c:val>
            <c:numRef>
              <c:f>Financials!$B$13</c:f>
              <c:numCache>
                <c:formatCode>General</c:formatCode>
                <c:ptCount val="1"/>
                <c:pt idx="0">
                  <c:v>0.2955667967967968</c:v>
                </c:pt>
              </c:numCache>
            </c:numRef>
          </c:val>
        </c:ser>
        <c:ser>
          <c:idx val="1"/>
          <c:order val="1"/>
          <c:tx>
            <c:v>AMZN-Q4-2024-Earnings-Release</c:v>
          </c:tx>
          <c:spPr>
            <a:solidFill>
              <a:srgbClr val="555555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Financials!$A$13</c:f>
              <c:strCache>
                <c:ptCount val="1"/>
                <c:pt idx="0">
                  <c:v>Quarterly Operating Margin</c:v>
                </c:pt>
              </c:strCache>
            </c:strRef>
          </c:cat>
          <c:val>
            <c:numRef>
              <c:f>Financials!$C$13</c:f>
              <c:numCache>
                <c:formatCode>General</c:formatCode>
                <c:ptCount val="1"/>
                <c:pt idx="0">
                  <c:v>0.1129068330919315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_10-Q-Q3-2024-As-Filed Revenue Mix ($M)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_10-Q-Q3-2024-As-Filed Revenue Mix</c:v>
          </c:tx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CatName val="1"/>
            <c:showPercent val="1"/>
            <c:separator>
</c:separator>
          </c:dLbls>
          <c:cat>
            <c:strRef>
              <c:f>Segments!$A$3:$A$7</c:f>
              <c:strCache>
                <c:ptCount val="5"/>
                <c:pt idx="0">
                  <c:v>Americas</c:v>
                </c:pt>
                <c:pt idx="1">
                  <c:v>Europe</c:v>
                </c:pt>
                <c:pt idx="2">
                  <c:v>Greater China</c:v>
                </c:pt>
                <c:pt idx="3">
                  <c:v>Japan</c:v>
                </c:pt>
                <c:pt idx="4">
                  <c:v>Rest of Asia Pacific</c:v>
                </c:pt>
              </c:strCache>
            </c:strRef>
          </c:cat>
          <c:val>
            <c:numRef>
              <c:f>Segments!$B$3:$B$7</c:f>
              <c:numCache>
                <c:formatCode>General</c:formatCode>
                <c:ptCount val="5"/>
                <c:pt idx="0">
                  <c:v>37.678</c:v>
                </c:pt>
                <c:pt idx="1">
                  <c:v>21.884</c:v>
                </c:pt>
                <c:pt idx="2">
                  <c:v>14.728</c:v>
                </c:pt>
                <c:pt idx="3">
                  <c:v>5.097</c:v>
                </c:pt>
                <c:pt idx="4">
                  <c:v>6.39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_10-Q-Q3-2024-As-Filed Segment Op Margin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Operating Margin</c:v>
          </c:tx>
          <c:spPr>
            <a:solidFill>
              <a:srgbClr val="FF9900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Segments!$A$3:$A$7</c:f>
              <c:strCache>
                <c:ptCount val="5"/>
                <c:pt idx="0">
                  <c:v>Americas</c:v>
                </c:pt>
                <c:pt idx="1">
                  <c:v>Europe</c:v>
                </c:pt>
                <c:pt idx="2">
                  <c:v>Greater China</c:v>
                </c:pt>
                <c:pt idx="3">
                  <c:v>Japan</c:v>
                </c:pt>
                <c:pt idx="4">
                  <c:v>Rest of Asia Pacific</c:v>
                </c:pt>
              </c:strCache>
            </c:strRef>
          </c:cat>
          <c:val>
            <c:numRef>
              <c:f>Segments!$F$3:$F$7</c:f>
              <c:numCache>
                <c:formatCode>General</c:formatCode>
                <c:ptCount val="5"/>
                <c:pt idx="0">
                  <c:v>0.4037267904509284</c:v>
                </c:pt>
                <c:pt idx="1">
                  <c:v>0.4191264637002342</c:v>
                </c:pt>
                <c:pt idx="2">
                  <c:v>0.3776885245901639</c:v>
                </c:pt>
                <c:pt idx="3">
                  <c:v>0.4990567892976589</c:v>
                </c:pt>
                <c:pt idx="4">
                  <c:v>0.4087558685446009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AMZN-Q4-2024-Earnings-Release Revenue Mix ($M)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AMZN-Q4-2024-Earnings-Release Revenue Mix</c:v>
          </c:tx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CatName val="1"/>
            <c:showPercent val="1"/>
            <c:separator>
</c:separator>
          </c:dLbls>
          <c:cat>
            <c:strRef>
              <c:f>Segments!$A$12:$A$14</c:f>
              <c:strCache>
                <c:ptCount val="3"/>
                <c:pt idx="0">
                  <c:v>North America</c:v>
                </c:pt>
                <c:pt idx="1">
                  <c:v>International</c:v>
                </c:pt>
                <c:pt idx="2">
                  <c:v>AWS</c:v>
                </c:pt>
              </c:strCache>
            </c:strRef>
          </c:cat>
          <c:val>
            <c:numRef>
              <c:f>Segments!$B$12:$B$14</c:f>
              <c:numCache>
                <c:formatCode>General</c:formatCode>
                <c:ptCount val="3"/>
                <c:pt idx="0">
                  <c:v>115.586</c:v>
                </c:pt>
                <c:pt idx="1">
                  <c:v>43.42</c:v>
                </c:pt>
                <c:pt idx="2">
                  <c:v>28.786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AMZN-Q4-2024-Earnings-Release Segment Op Margin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Operating Margin</c:v>
          </c:tx>
          <c:spPr>
            <a:solidFill>
              <a:srgbClr val="555555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Segments!$A$12:$A$14</c:f>
              <c:strCache>
                <c:ptCount val="3"/>
                <c:pt idx="0">
                  <c:v>North America</c:v>
                </c:pt>
                <c:pt idx="1">
                  <c:v>International</c:v>
                </c:pt>
                <c:pt idx="2">
                  <c:v>AWS</c:v>
                </c:pt>
              </c:strCache>
            </c:strRef>
          </c:cat>
          <c:val>
            <c:numRef>
              <c:f>Segments!$F$12:$F$14</c:f>
              <c:numCache>
                <c:formatCode>General</c:formatCode>
                <c:ptCount val="3"/>
                <c:pt idx="0">
                  <c:v>0.0801034928229665</c:v>
                </c:pt>
                <c:pt idx="1">
                  <c:v>0.03027679324894515</c:v>
                </c:pt>
                <c:pt idx="2">
                  <c:v>0.3693693693693694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0%" sourceLinked="0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Operating CF vs CapEx vs Free CF ($M)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Operating CF</c:v>
          </c:tx>
          <c:spPr>
            <a:solidFill>
              <a:srgbClr val="2196F3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Flow'!$A$24:$A$25</c:f>
              <c:strCache>
                <c:ptCount val="2"/>
                <c:pt idx="0">
                  <c:v>_10-Q-Q3-2024-As-Filed</c:v>
                </c:pt>
                <c:pt idx="1">
                  <c:v>AMZN-Q4-2024-Earnings-Release</c:v>
                </c:pt>
              </c:strCache>
            </c:strRef>
          </c:cat>
          <c:val>
            <c:numRef>
              <c:f>'Cash Flow'!$B$24:$B$25</c:f>
              <c:numCache>
                <c:formatCode>General</c:formatCode>
                <c:ptCount val="2"/>
                <c:pt idx="0">
                  <c:v>91.443</c:v>
                </c:pt>
                <c:pt idx="1">
                  <c:v>115.877</c:v>
                </c:pt>
              </c:numCache>
            </c:numRef>
          </c:val>
        </c:ser>
        <c:ser>
          <c:idx val="1"/>
          <c:order val="1"/>
          <c:tx>
            <c:v>CapEx</c:v>
          </c:tx>
          <c:spPr>
            <a:solidFill>
              <a:srgbClr val="F44336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Flow'!$A$24:$A$25</c:f>
              <c:strCache>
                <c:ptCount val="2"/>
                <c:pt idx="0">
                  <c:v>_10-Q-Q3-2024-As-Filed</c:v>
                </c:pt>
                <c:pt idx="1">
                  <c:v>AMZN-Q4-2024-Earnings-Release</c:v>
                </c:pt>
              </c:strCache>
            </c:strRef>
          </c:cat>
          <c:val>
            <c:numRef>
              <c:f>'Cash Flow'!$C$24:$C$25</c:f>
              <c:numCache>
                <c:formatCode>General</c:formatCode>
                <c:ptCount val="2"/>
                <c:pt idx="0">
                  <c:v>6.539</c:v>
                </c:pt>
                <c:pt idx="1">
                  <c:v>82.999</c:v>
                </c:pt>
              </c:numCache>
            </c:numRef>
          </c:val>
        </c:ser>
        <c:ser>
          <c:idx val="2"/>
          <c:order val="2"/>
          <c:tx>
            <c:v>Free CF</c:v>
          </c:tx>
          <c:spPr>
            <a:solidFill>
              <a:srgbClr val="4CAF50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Flow'!$A$24:$A$25</c:f>
              <c:strCache>
                <c:ptCount val="2"/>
                <c:pt idx="0">
                  <c:v>_10-Q-Q3-2024-As-Filed</c:v>
                </c:pt>
                <c:pt idx="1">
                  <c:v>AMZN-Q4-2024-Earnings-Release</c:v>
                </c:pt>
              </c:strCache>
            </c:strRef>
          </c:cat>
          <c:val>
            <c:numRef>
              <c:f>'Cash Flow'!$D$24:$D$25</c:f>
              <c:numCache>
                <c:formatCode>General</c:formatCode>
                <c:ptCount val="2"/>
                <c:pt idx="0">
                  <c:v>84.904</c:v>
                </c:pt>
                <c:pt idx="1">
                  <c:v>38.219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#,##0" sourceLinked="0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76200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12</xdr:col>
      <xdr:colOff>76200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15</xdr:col>
      <xdr:colOff>495300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15</xdr:col>
      <xdr:colOff>19050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44</xdr:row>
      <xdr:rowOff>0</xdr:rowOff>
    </xdr:from>
    <xdr:to>
      <xdr:col>15</xdr:col>
      <xdr:colOff>495300</xdr:colOff>
      <xdr:row>61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67</xdr:row>
      <xdr:rowOff>0</xdr:rowOff>
    </xdr:from>
    <xdr:to>
      <xdr:col>15</xdr:col>
      <xdr:colOff>19050</xdr:colOff>
      <xdr:row>83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32.7109375" customWidth="1"/>
    <col min="2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3" spans="1:3">
      <c r="A3" s="2" t="s">
        <v>3</v>
      </c>
      <c r="B3" s="2"/>
      <c r="C3" s="2"/>
    </row>
    <row r="4" spans="1:3">
      <c r="A4" s="3" t="s">
        <v>4</v>
      </c>
      <c r="B4" s="4">
        <v>85.777</v>
      </c>
      <c r="C4" s="4">
        <v>187.792</v>
      </c>
    </row>
    <row r="5" spans="1:3">
      <c r="A5" s="5" t="s">
        <v>5</v>
      </c>
      <c r="B5" s="6">
        <v>81.797</v>
      </c>
      <c r="C5" s="6">
        <v>169.961</v>
      </c>
    </row>
    <row r="6" spans="1:3">
      <c r="A6" s="3" t="s">
        <v>6</v>
      </c>
      <c r="B6" s="7">
        <v>0.04864646646464646</v>
      </c>
      <c r="C6" s="7">
        <v>0.1049123034107825</v>
      </c>
    </row>
    <row r="7" spans="1:3">
      <c r="A7" s="5" t="s">
        <v>7</v>
      </c>
      <c r="B7" s="6">
        <v>296.105</v>
      </c>
      <c r="C7" s="6">
        <v>637.9589999999999</v>
      </c>
    </row>
    <row r="8" spans="1:3">
      <c r="A8" s="3" t="s">
        <v>8</v>
      </c>
      <c r="B8" s="4">
        <v>293.787</v>
      </c>
      <c r="C8" s="4">
        <v>574.785</v>
      </c>
    </row>
    <row r="9" spans="1:3">
      <c r="A9" s="5" t="s">
        <v>9</v>
      </c>
      <c r="B9" s="8">
        <v>0.007898852979576791</v>
      </c>
      <c r="C9" s="8">
        <v>0.1099089224666615</v>
      </c>
    </row>
    <row r="11" spans="1:3">
      <c r="A11" s="2" t="s">
        <v>10</v>
      </c>
      <c r="B11" s="2"/>
      <c r="C11" s="2"/>
    </row>
    <row r="12" spans="1:3">
      <c r="A12" s="3" t="s">
        <v>11</v>
      </c>
      <c r="B12" s="4">
        <v>25.352</v>
      </c>
      <c r="C12" s="4">
        <v>21.203</v>
      </c>
    </row>
    <row r="13" spans="1:3">
      <c r="A13" s="5" t="s">
        <v>12</v>
      </c>
      <c r="B13" s="8">
        <v>0.2955667967967968</v>
      </c>
      <c r="C13" s="8">
        <v>0.1129068330919315</v>
      </c>
    </row>
    <row r="14" spans="1:3">
      <c r="A14" s="3" t="s">
        <v>13</v>
      </c>
      <c r="B14" s="4">
        <v>93.625</v>
      </c>
      <c r="C14" s="4">
        <v>68.593</v>
      </c>
    </row>
    <row r="15" spans="1:3">
      <c r="A15" s="5" t="s">
        <v>14</v>
      </c>
      <c r="B15" s="8">
        <v>0.3162594652594653</v>
      </c>
      <c r="C15" s="8">
        <v>0.1075194487420038</v>
      </c>
    </row>
    <row r="17" spans="1:3">
      <c r="A17" s="2" t="s">
        <v>15</v>
      </c>
      <c r="B17" s="2"/>
      <c r="C17" s="2"/>
    </row>
    <row r="18" spans="1:3">
      <c r="A18" s="3" t="s">
        <v>16</v>
      </c>
      <c r="B18" s="4">
        <v>21.448</v>
      </c>
      <c r="C18" s="4">
        <v>20.004</v>
      </c>
    </row>
    <row r="19" spans="1:3">
      <c r="A19" s="5" t="s">
        <v>17</v>
      </c>
      <c r="B19" s="9">
        <v>1.4</v>
      </c>
      <c r="C19" s="9">
        <v>1.9</v>
      </c>
    </row>
    <row r="20" spans="1:3">
      <c r="A20" s="3" t="s">
        <v>18</v>
      </c>
      <c r="B20" s="10">
        <v>1.4</v>
      </c>
      <c r="C20" s="10">
        <v>1.86</v>
      </c>
    </row>
    <row r="21" spans="1:3">
      <c r="A21" s="5" t="s">
        <v>19</v>
      </c>
      <c r="B21" s="6">
        <v>79</v>
      </c>
      <c r="C21" s="6">
        <v>59.248</v>
      </c>
    </row>
    <row r="22" spans="1:3">
      <c r="A22" s="3" t="s">
        <v>20</v>
      </c>
      <c r="B22" s="10">
        <v>5.13</v>
      </c>
      <c r="C22" s="10">
        <v>5.66</v>
      </c>
    </row>
    <row r="23" spans="1:3">
      <c r="A23" s="5" t="s">
        <v>21</v>
      </c>
      <c r="B23" s="9">
        <v>5.11</v>
      </c>
      <c r="C23" s="9">
        <v>5.53</v>
      </c>
    </row>
    <row r="25" spans="1:3">
      <c r="A25" s="2" t="s">
        <v>22</v>
      </c>
      <c r="B25" s="2"/>
      <c r="C25" s="2"/>
    </row>
    <row r="26" spans="1:3">
      <c r="A26" s="3" t="s">
        <v>23</v>
      </c>
      <c r="B26" s="4">
        <v>91.443</v>
      </c>
      <c r="C26" s="4">
        <v>115.877</v>
      </c>
    </row>
    <row r="27" spans="1:3">
      <c r="A27" s="5" t="s">
        <v>24</v>
      </c>
      <c r="B27" s="6">
        <v>84.904</v>
      </c>
      <c r="C27" s="6">
        <v>38.219</v>
      </c>
    </row>
    <row r="28" spans="1:3">
      <c r="A28" s="3" t="s">
        <v>25</v>
      </c>
      <c r="B28" s="4">
        <v>6.539</v>
      </c>
      <c r="C28" s="4">
        <v>82.999</v>
      </c>
    </row>
  </sheetData>
  <mergeCells count="4">
    <mergeCell ref="A3:C3"/>
    <mergeCell ref="A11:C11"/>
    <mergeCell ref="A17:C17"/>
    <mergeCell ref="A25:C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1" width="24.7109375" customWidth="1"/>
    <col min="2" max="7" width="20.7109375" customWidth="1"/>
  </cols>
  <sheetData>
    <row r="1" spans="1:7">
      <c r="A1" s="2" t="s">
        <v>26</v>
      </c>
      <c r="B1" s="2"/>
      <c r="C1" s="2"/>
      <c r="D1" s="2"/>
      <c r="E1" s="2"/>
      <c r="F1" s="2"/>
      <c r="G1" s="2"/>
    </row>
    <row r="2" spans="1:7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</row>
    <row r="3" spans="1:7">
      <c r="A3" s="3" t="s">
        <v>34</v>
      </c>
      <c r="B3" s="4">
        <v>37.678</v>
      </c>
      <c r="C3" s="4">
        <v>35.383</v>
      </c>
      <c r="D3" s="7">
        <v>0.06</v>
      </c>
      <c r="E3" s="4">
        <v>15.209</v>
      </c>
      <c r="F3" s="7">
        <v>0.4037267904509284</v>
      </c>
      <c r="G3" s="7">
        <v>0.4392298298298298</v>
      </c>
    </row>
    <row r="4" spans="1:7">
      <c r="A4" s="5" t="s">
        <v>35</v>
      </c>
      <c r="B4" s="6">
        <v>21.884</v>
      </c>
      <c r="C4" s="6">
        <v>20.205</v>
      </c>
      <c r="D4" s="8">
        <v>0.08308145580589241</v>
      </c>
      <c r="E4" s="6">
        <v>9.17</v>
      </c>
      <c r="F4" s="8">
        <v>0.4191264637002342</v>
      </c>
      <c r="G4" s="8">
        <v>0.2550750750750751</v>
      </c>
    </row>
    <row r="5" spans="1:7">
      <c r="A5" s="3" t="s">
        <v>36</v>
      </c>
      <c r="B5" s="4">
        <v>14.728</v>
      </c>
      <c r="C5" s="4">
        <v>15.758</v>
      </c>
      <c r="D5" s="7">
        <v>-0.06541019955654102</v>
      </c>
      <c r="E5" s="4">
        <v>5.562</v>
      </c>
      <c r="F5" s="7">
        <v>0.3776885245901639</v>
      </c>
      <c r="G5" s="7">
        <v>0.1717117117117117</v>
      </c>
    </row>
    <row r="6" spans="1:7">
      <c r="A6" s="5" t="s">
        <v>37</v>
      </c>
      <c r="B6" s="6">
        <v>5.097</v>
      </c>
      <c r="C6" s="6">
        <v>4.821</v>
      </c>
      <c r="D6" s="8">
        <v>0.05725702393822394</v>
      </c>
      <c r="E6" s="6">
        <v>2.544</v>
      </c>
      <c r="F6" s="8">
        <v>0.4990567892976589</v>
      </c>
      <c r="G6" s="8">
        <v>0.05940690690690691</v>
      </c>
    </row>
    <row r="7" spans="1:7">
      <c r="A7" s="3" t="s">
        <v>38</v>
      </c>
      <c r="B7" s="4">
        <v>6.39</v>
      </c>
      <c r="C7" s="4">
        <v>5.63</v>
      </c>
      <c r="D7" s="7">
        <v>0.1350266362175679</v>
      </c>
      <c r="E7" s="4">
        <v>2.61</v>
      </c>
      <c r="F7" s="7">
        <v>0.4087558685446009</v>
      </c>
      <c r="G7" s="7">
        <v>0.07457647647647649</v>
      </c>
    </row>
    <row r="10" spans="1:7">
      <c r="A10" s="2" t="s">
        <v>39</v>
      </c>
      <c r="B10" s="2"/>
      <c r="C10" s="2"/>
      <c r="D10" s="2"/>
      <c r="E10" s="2"/>
      <c r="F10" s="2"/>
      <c r="G10" s="2"/>
    </row>
    <row r="11" spans="1:7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32</v>
      </c>
      <c r="G11" s="1" t="s">
        <v>33</v>
      </c>
    </row>
    <row r="12" spans="1:7">
      <c r="A12" s="3" t="s">
        <v>40</v>
      </c>
      <c r="B12" s="4">
        <v>115.586</v>
      </c>
      <c r="C12" s="4">
        <v>105.514</v>
      </c>
      <c r="D12" s="7">
        <v>0.09554679354679355</v>
      </c>
      <c r="E12" s="4">
        <v>9.256</v>
      </c>
      <c r="F12" s="7">
        <v>0.0801034928229665</v>
      </c>
      <c r="G12" s="7">
        <v>0.6154298296638891</v>
      </c>
    </row>
    <row r="13" spans="1:7">
      <c r="A13" s="5" t="s">
        <v>41</v>
      </c>
      <c r="B13" s="6">
        <v>43.42</v>
      </c>
      <c r="C13" s="6">
        <v>40.243</v>
      </c>
      <c r="D13" s="8">
        <v>0.07889631901840491</v>
      </c>
      <c r="E13" s="6">
        <v>1.315</v>
      </c>
      <c r="F13" s="8">
        <v>0.03027679324894515</v>
      </c>
      <c r="G13" s="8">
        <v>0.2311898296638891</v>
      </c>
    </row>
    <row r="14" spans="1:7">
      <c r="A14" s="3" t="s">
        <v>42</v>
      </c>
      <c r="B14" s="4">
        <v>28.786</v>
      </c>
      <c r="C14" s="4">
        <v>24.204</v>
      </c>
      <c r="D14" s="7">
        <v>0.1896404958987091</v>
      </c>
      <c r="E14" s="4">
        <v>10.632</v>
      </c>
      <c r="F14" s="7">
        <v>0.3693693693693694</v>
      </c>
      <c r="G14" s="7">
        <v>0.1533803406722218</v>
      </c>
    </row>
  </sheetData>
  <mergeCells count="2">
    <mergeCell ref="A1:G1"/>
    <mergeCell ref="A10:G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1" width="36.7109375" customWidth="1"/>
    <col min="2" max="3" width="30.7109375" customWidth="1"/>
  </cols>
  <sheetData>
    <row r="1" spans="1:3">
      <c r="A1" s="1" t="s">
        <v>43</v>
      </c>
      <c r="B1" s="1" t="s">
        <v>1</v>
      </c>
      <c r="C1" s="1" t="s">
        <v>2</v>
      </c>
    </row>
    <row r="3" spans="1:3">
      <c r="A3" s="2" t="s">
        <v>44</v>
      </c>
      <c r="B3" s="2"/>
      <c r="C3" s="2"/>
    </row>
    <row r="4" spans="1:3">
      <c r="A4" s="3" t="s">
        <v>45</v>
      </c>
      <c r="B4" s="4">
        <v>6.539</v>
      </c>
      <c r="C4" s="4">
        <v>82.999</v>
      </c>
    </row>
    <row r="5" spans="1:3">
      <c r="A5" s="5" t="s">
        <v>46</v>
      </c>
      <c r="C5" s="6">
        <v>854</v>
      </c>
    </row>
    <row r="6" spans="1:3">
      <c r="A6" s="3" t="s">
        <v>47</v>
      </c>
      <c r="C6" s="4">
        <v>5341</v>
      </c>
    </row>
    <row r="8" spans="1:3">
      <c r="A8" s="2" t="s">
        <v>48</v>
      </c>
      <c r="B8" s="2"/>
      <c r="C8" s="2"/>
    </row>
    <row r="9" spans="1:3">
      <c r="A9" s="5" t="s">
        <v>49</v>
      </c>
      <c r="B9" s="6">
        <v>7.4</v>
      </c>
      <c r="C9" s="6">
        <v>9182</v>
      </c>
    </row>
    <row r="10" spans="1:3">
      <c r="A10" s="3" t="s">
        <v>50</v>
      </c>
      <c r="B10" s="4">
        <v>2.985</v>
      </c>
      <c r="C10" s="4">
        <v>5060</v>
      </c>
    </row>
    <row r="12" spans="1:3">
      <c r="A12" s="2" t="s">
        <v>51</v>
      </c>
      <c r="B12" s="2"/>
      <c r="C12" s="2"/>
    </row>
    <row r="13" spans="1:3">
      <c r="A13" s="5" t="s">
        <v>52</v>
      </c>
      <c r="C13" s="6">
        <v>2043</v>
      </c>
    </row>
    <row r="14" spans="1:3">
      <c r="A14" s="3" t="s">
        <v>53</v>
      </c>
      <c r="C14" s="4">
        <v>12341</v>
      </c>
    </row>
    <row r="16" spans="1:3">
      <c r="A16" s="2" t="s">
        <v>54</v>
      </c>
      <c r="B16" s="2"/>
      <c r="C16" s="2"/>
    </row>
    <row r="17" spans="1:4">
      <c r="A17" s="5" t="s">
        <v>55</v>
      </c>
      <c r="B17" s="6">
        <v>25565</v>
      </c>
      <c r="C17" s="6">
        <v>78779</v>
      </c>
    </row>
    <row r="18" spans="1:4">
      <c r="A18" s="3" t="s">
        <v>56</v>
      </c>
      <c r="B18" s="4">
        <v>36236</v>
      </c>
      <c r="C18" s="4">
        <v>22423</v>
      </c>
    </row>
    <row r="19" spans="1:4">
      <c r="A19" s="5" t="s">
        <v>57</v>
      </c>
      <c r="B19" s="6">
        <v>91240</v>
      </c>
    </row>
    <row r="20" spans="1:4">
      <c r="A20" s="3" t="s">
        <v>58</v>
      </c>
      <c r="B20" s="4">
        <v>101304</v>
      </c>
      <c r="C20" s="4">
        <v>52623</v>
      </c>
    </row>
    <row r="23" spans="1:4">
      <c r="A23" s="3"/>
      <c r="B23" s="1" t="s">
        <v>59</v>
      </c>
      <c r="C23" s="1" t="s">
        <v>60</v>
      </c>
      <c r="D23" s="1" t="s">
        <v>61</v>
      </c>
    </row>
    <row r="24" spans="1:4">
      <c r="A24" s="3" t="s">
        <v>1</v>
      </c>
      <c r="B24" s="4">
        <v>91.443</v>
      </c>
      <c r="C24" s="4">
        <v>6.539</v>
      </c>
      <c r="D24" s="4">
        <v>84.904</v>
      </c>
    </row>
    <row r="25" spans="1:4">
      <c r="A25" s="3" t="s">
        <v>2</v>
      </c>
      <c r="B25" s="4">
        <v>115.877</v>
      </c>
      <c r="C25" s="4">
        <v>82.999</v>
      </c>
      <c r="D25" s="4">
        <v>38.219</v>
      </c>
    </row>
  </sheetData>
  <mergeCells count="4">
    <mergeCell ref="A3:C3"/>
    <mergeCell ref="A8:C8"/>
    <mergeCell ref="A12:C12"/>
    <mergeCell ref="A16:C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28.7109375" customWidth="1"/>
    <col min="2" max="3" width="30.7109375" customWidth="1"/>
  </cols>
  <sheetData>
    <row r="1" spans="1:3">
      <c r="A1" s="1" t="s">
        <v>62</v>
      </c>
      <c r="B1" s="1" t="s">
        <v>1</v>
      </c>
      <c r="C1" s="1" t="s">
        <v>2</v>
      </c>
    </row>
    <row r="3" spans="1:3">
      <c r="A3" s="2" t="s">
        <v>63</v>
      </c>
      <c r="B3" s="2"/>
      <c r="C3" s="2"/>
    </row>
    <row r="4" spans="1:3">
      <c r="A4" s="3" t="s">
        <v>64</v>
      </c>
      <c r="B4" s="11" t="s">
        <v>65</v>
      </c>
      <c r="C4" s="12" t="s">
        <v>66</v>
      </c>
    </row>
    <row r="5" spans="1:3">
      <c r="A5" s="5" t="s">
        <v>67</v>
      </c>
      <c r="B5" s="11" t="s">
        <v>65</v>
      </c>
      <c r="C5" s="6">
        <v>151000</v>
      </c>
    </row>
    <row r="6" spans="1:3">
      <c r="A6" s="3" t="s">
        <v>68</v>
      </c>
      <c r="B6" s="11" t="s">
        <v>65</v>
      </c>
      <c r="C6" s="4">
        <v>155500</v>
      </c>
    </row>
    <row r="7" spans="1:3">
      <c r="A7" s="5" t="s">
        <v>69</v>
      </c>
      <c r="B7" s="11" t="s">
        <v>65</v>
      </c>
      <c r="C7" s="8">
        <v>0.05</v>
      </c>
    </row>
    <row r="8" spans="1:3">
      <c r="A8" s="3" t="s">
        <v>70</v>
      </c>
      <c r="B8" s="11" t="s">
        <v>65</v>
      </c>
      <c r="C8" s="7">
        <v>0.09</v>
      </c>
    </row>
    <row r="9" spans="1:3">
      <c r="A9" s="5" t="s">
        <v>71</v>
      </c>
      <c r="B9" s="11" t="s">
        <v>65</v>
      </c>
      <c r="C9" s="6">
        <v>14000</v>
      </c>
    </row>
    <row r="10" spans="1:3">
      <c r="A10" s="3" t="s">
        <v>72</v>
      </c>
      <c r="B10" s="11" t="s">
        <v>65</v>
      </c>
      <c r="C10" s="4">
        <v>18000</v>
      </c>
    </row>
    <row r="12" spans="1:3">
      <c r="A12" s="2" t="s">
        <v>73</v>
      </c>
      <c r="B12" s="2"/>
      <c r="C12" s="2"/>
    </row>
    <row r="13" spans="1:3">
      <c r="A13" s="5" t="s">
        <v>74</v>
      </c>
      <c r="B13" s="11" t="s">
        <v>65</v>
      </c>
      <c r="C13" s="6">
        <v>2100</v>
      </c>
    </row>
    <row r="14" spans="1:3">
      <c r="A14" s="3" t="s">
        <v>75</v>
      </c>
      <c r="B14" s="11" t="s">
        <v>65</v>
      </c>
      <c r="C14" s="4">
        <v>150</v>
      </c>
    </row>
  </sheetData>
  <mergeCells count="2">
    <mergeCell ref="A3:C3"/>
    <mergeCell ref="A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32.7109375" customWidth="1"/>
    <col min="2" max="3" width="30.7109375" customWidth="1"/>
  </cols>
  <sheetData>
    <row r="1" spans="1:3">
      <c r="A1" s="1" t="s">
        <v>62</v>
      </c>
      <c r="B1" s="1" t="s">
        <v>1</v>
      </c>
      <c r="C1" s="1" t="s">
        <v>2</v>
      </c>
    </row>
    <row r="3" spans="1:3">
      <c r="A3" s="2" t="s">
        <v>76</v>
      </c>
      <c r="B3" s="2"/>
      <c r="C3" s="2"/>
    </row>
    <row r="4" spans="1:3">
      <c r="A4" s="3" t="s">
        <v>77</v>
      </c>
      <c r="B4" s="4">
        <v>2.869</v>
      </c>
      <c r="C4" s="4">
        <v>4995</v>
      </c>
    </row>
    <row r="5" spans="1:3">
      <c r="A5" s="5" t="s">
        <v>78</v>
      </c>
      <c r="B5" s="6">
        <v>2.617</v>
      </c>
      <c r="C5" s="6">
        <v>6319</v>
      </c>
    </row>
    <row r="6" spans="1:3">
      <c r="A6" s="3" t="s">
        <v>79</v>
      </c>
      <c r="B6" s="4">
        <v>8.83</v>
      </c>
      <c r="C6" s="4">
        <v>22011</v>
      </c>
    </row>
    <row r="7" spans="1:3">
      <c r="A7" s="5" t="s">
        <v>80</v>
      </c>
      <c r="B7" s="6">
        <v>8.208</v>
      </c>
      <c r="C7" s="6">
        <v>24023</v>
      </c>
    </row>
    <row r="9" spans="1:3">
      <c r="A9" s="2" t="s">
        <v>81</v>
      </c>
      <c r="B9" s="2"/>
      <c r="C9" s="2"/>
    </row>
    <row r="10" spans="1:3">
      <c r="A10" s="2" t="s">
        <v>82</v>
      </c>
      <c r="B10" s="1" t="s">
        <v>83</v>
      </c>
      <c r="C10" s="1" t="s">
        <v>84</v>
      </c>
    </row>
    <row r="11" spans="1:3">
      <c r="A11" s="3" t="s">
        <v>85</v>
      </c>
      <c r="B11" s="11" t="s">
        <v>86</v>
      </c>
      <c r="C11" s="11" t="s">
        <v>87</v>
      </c>
    </row>
    <row r="12" spans="1:3">
      <c r="A12" s="3" t="s">
        <v>88</v>
      </c>
      <c r="B12" s="11" t="s">
        <v>89</v>
      </c>
      <c r="C12" s="11" t="s">
        <v>90</v>
      </c>
    </row>
    <row r="15" spans="1:3">
      <c r="A15" s="2" t="s">
        <v>91</v>
      </c>
      <c r="B15" s="2"/>
      <c r="C15" s="2"/>
    </row>
    <row r="16" spans="1:3">
      <c r="A16" s="12" t="s">
        <v>92</v>
      </c>
    </row>
    <row r="17" spans="1:1">
      <c r="A17" s="12" t="s">
        <v>93</v>
      </c>
    </row>
    <row r="18" spans="1:1">
      <c r="A18" s="12" t="s">
        <v>94</v>
      </c>
    </row>
  </sheetData>
  <mergeCells count="3">
    <mergeCell ref="A3:C3"/>
    <mergeCell ref="A9:C9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Financials</vt:lpstr>
      <vt:lpstr>Segments</vt:lpstr>
      <vt:lpstr>Cash Flow</vt:lpstr>
      <vt:lpstr>Guidance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2026-04-16T05:10:23Z</dcterms:created>
  <dcterms:modified xsi:type="dcterms:W3CDTF">2026-04-16T05:10:23Z</dcterms:modified>
</cp:coreProperties>
</file>